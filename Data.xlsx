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castedu-my.sharepoint.com/personal/haydnblythe_magro_g52465_mcast_edu_mt/Documents/Bachelor of Science (Honours) in Computer Systems and Networks/Year 3/Dissertation/THESIS/Chapter 4 - Analysis/Data Collection Template/"/>
    </mc:Choice>
  </mc:AlternateContent>
  <xr:revisionPtr revIDLastSave="816" documentId="13_ncr:1_{ECEB1674-B840-4609-85CA-5FB6D80694C5}" xr6:coauthVersionLast="47" xr6:coauthVersionMax="47" xr10:uidLastSave="{C8B7BEC0-6B44-4298-AAF4-CEC9EF4FE0D2}"/>
  <bookViews>
    <workbookView xWindow="-16320" yWindow="-120" windowWidth="16440" windowHeight="28320" tabRatio="500" activeTab="1" xr2:uid="{00000000-000D-0000-FFFF-FFFF00000000}"/>
  </bookViews>
  <sheets>
    <sheet name="Preparation Runs" sheetId="1" r:id="rId1"/>
    <sheet name="Failover Results" sheetId="2" r:id="rId2"/>
  </sheets>
  <definedNames>
    <definedName name="_xlnm._FilterDatabase" localSheetId="0" hidden="1">'Preparation Runs'!$D$4:$D$124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8" i="2" l="1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</calcChain>
</file>

<file path=xl/sharedStrings.xml><?xml version="1.0" encoding="utf-8"?>
<sst xmlns="http://schemas.openxmlformats.org/spreadsheetml/2006/main" count="499" uniqueCount="51">
  <si>
    <t>PREPARATION RUNS LOG  —  1 Full Sync + 4 Incremental Replications per Repetition</t>
  </si>
  <si>
    <t>RUN IDENTIFICATION</t>
  </si>
  <si>
    <t>REPLICATION JOB</t>
  </si>
  <si>
    <t>RESOURCE METRICS</t>
  </si>
  <si>
    <t>NETWORK</t>
  </si>
  <si>
    <t>Repetition
#</t>
  </si>
  <si>
    <t>Prep Run
(1-5)</t>
  </si>
  <si>
    <t>Run Type
(Full/Incr)</t>
  </si>
  <si>
    <t>Strategy</t>
  </si>
  <si>
    <t>Network
Profile</t>
  </si>
  <si>
    <t>Job Start
Time</t>
  </si>
  <si>
    <t>Duration
(min)</t>
  </si>
  <si>
    <t>CPU Util | DR
(%)</t>
  </si>
  <si>
    <t>CPU Util | Primary
(%)</t>
  </si>
  <si>
    <t>Mem Util | DR
(%)</t>
  </si>
  <si>
    <t>Mem Util | Primary
(%)</t>
  </si>
  <si>
    <t>Throughput
(Mbps)</t>
  </si>
  <si>
    <t>Latency
(ms)</t>
  </si>
  <si>
    <t>Jitter
(ms)</t>
  </si>
  <si>
    <t>Packet
Loss (%)</t>
  </si>
  <si>
    <t>Full Sync</t>
  </si>
  <si>
    <t>Snapshot-Based</t>
  </si>
  <si>
    <t>Local Metro – Normal</t>
  </si>
  <si>
    <t>Incremental 1</t>
  </si>
  <si>
    <t>Incremental 2</t>
  </si>
  <si>
    <t>Incremental 3</t>
  </si>
  <si>
    <t>Incremental 4</t>
  </si>
  <si>
    <t>Local Metro – Degraded</t>
  </si>
  <si>
    <t>Regional – Normal</t>
  </si>
  <si>
    <t>Regional – Degraded</t>
  </si>
  <si>
    <t>Continuous Async</t>
  </si>
  <si>
    <t>FAILOVER TEST RESULTS  —  RTO &amp; RPO Measurements  (1 test per repetition, after 1 Full + 4 Incrementals)</t>
  </si>
  <si>
    <t>PRIMARY OUTCOMES</t>
  </si>
  <si>
    <t>RESOURCE UTILISATION</t>
  </si>
  <si>
    <t>FAILOVER DETAIL</t>
  </si>
  <si>
    <t>CALCULATED</t>
  </si>
  <si>
    <t>Test
#</t>
  </si>
  <si>
    <t>Condition</t>
  </si>
  <si>
    <t>RTO
(seconds)</t>
  </si>
  <si>
    <t>RPO
(seconds)</t>
  </si>
  <si>
    <t>Primary
CPU (%)</t>
  </si>
  <si>
    <t>DR
CPU (%)</t>
  </si>
  <si>
    <t>Storage
Overhead (GB)</t>
  </si>
  <si>
    <t>Failover
Success?</t>
  </si>
  <si>
    <t>Timestamp
(Disaster)</t>
  </si>
  <si>
    <t>RTO vs Target
(≤300s)?</t>
  </si>
  <si>
    <t>RPO vs Target
(≤900s)?</t>
  </si>
  <si>
    <t>Normal</t>
  </si>
  <si>
    <t>YES</t>
  </si>
  <si>
    <t>Degraded</t>
  </si>
  <si>
    <t xml:space="preserve">Each repetition block contains 3 preparation runs (rows shaded blue) followed by 1 failover test (see Failover Results sheet).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</si>
</sst>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404040"/>
      <name val="Arial"/>
      <charset val="1"/>
    </font>
    <font>
      <b/>
      <sz val="9"/>
      <color rgb="FFFFFFFF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sz val="9"/>
      <color rgb="FF0000FF"/>
      <name val="Arial"/>
      <charset val="1"/>
    </font>
    <font>
      <b/>
      <sz val="9"/>
      <color rgb="FF0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0F4761"/>
        <bgColor rgb="FF404040"/>
      </patternFill>
    </fill>
    <fill>
      <patternFill patternType="solid">
        <fgColor rgb="FFD6E8F5"/>
        <bgColor rgb="FFD6EAF8"/>
      </patternFill>
    </fill>
    <fill>
      <patternFill patternType="solid">
        <fgColor rgb="FF1F6E9C"/>
        <bgColor rgb="FF008080"/>
      </patternFill>
    </fill>
    <fill>
      <patternFill patternType="solid">
        <fgColor rgb="FFEAF4FB"/>
        <bgColor rgb="FFF2F2F2"/>
      </patternFill>
    </fill>
    <fill>
      <patternFill patternType="solid">
        <fgColor rgb="FFD6EAF8"/>
        <bgColor rgb="FFD6E8F5"/>
      </patternFill>
    </fill>
    <fill>
      <patternFill patternType="solid">
        <fgColor rgb="FFFFF2CC"/>
        <bgColor rgb="FFFFF9C4"/>
      </patternFill>
    </fill>
    <fill>
      <patternFill patternType="solid">
        <fgColor rgb="FFFEF9E7"/>
        <bgColor rgb="FFFFFFFF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20" fontId="6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0" fontId="6" fillId="6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20" fontId="6" fillId="10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9C"/>
      <rgbColor rgb="FFBFBFBF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D6E8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E2EFDA"/>
      <rgbColor rgb="FFFFF2CC"/>
      <rgbColor rgb="FFF2F2F2"/>
      <rgbColor rgb="FFFEF9E7"/>
      <rgbColor rgb="FFCC99FF"/>
      <rgbColor rgb="FFFCE4D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F4761"/>
      <rgbColor rgb="FF339966"/>
      <rgbColor rgb="FF003300"/>
      <rgbColor rgb="FF1A1A1A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"/>
  <sheetViews>
    <sheetView zoomScaleNormal="100" workbookViewId="0">
      <pane ySplit="5" topLeftCell="A6" activePane="bottomLeft" state="frozen"/>
      <selection pane="bottomLeft" activeCell="G18" sqref="G18"/>
    </sheetView>
  </sheetViews>
  <sheetFormatPr defaultColWidth="8.54296875" defaultRowHeight="14.5" x14ac:dyDescent="0.35"/>
  <cols>
    <col min="1" max="1" width="8" customWidth="1"/>
    <col min="2" max="2" width="9" customWidth="1"/>
    <col min="3" max="3" width="16" customWidth="1"/>
    <col min="4" max="4" width="20" customWidth="1"/>
    <col min="5" max="5" width="24" customWidth="1"/>
    <col min="6" max="6" width="16" customWidth="1"/>
    <col min="7" max="8" width="12" customWidth="1"/>
    <col min="9" max="9" width="15" bestFit="1" customWidth="1"/>
    <col min="10" max="10" width="15" customWidth="1"/>
    <col min="11" max="11" width="15.453125" bestFit="1" customWidth="1"/>
    <col min="12" max="14" width="11" customWidth="1"/>
    <col min="15" max="15" width="12" customWidth="1"/>
  </cols>
  <sheetData>
    <row r="1" spans="1:15" ht="27.75" customHeight="1" x14ac:dyDescent="0.3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21.75" customHeight="1" x14ac:dyDescent="0.35">
      <c r="A2" s="22" t="s">
        <v>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x14ac:dyDescent="0.35">
      <c r="A3" s="23" t="s">
        <v>1</v>
      </c>
      <c r="B3" s="23"/>
      <c r="C3" s="23"/>
      <c r="D3" s="23"/>
      <c r="E3" s="23"/>
      <c r="F3" s="23" t="s">
        <v>2</v>
      </c>
      <c r="G3" s="23"/>
      <c r="H3" s="1"/>
      <c r="I3" s="23" t="s">
        <v>3</v>
      </c>
      <c r="J3" s="23"/>
      <c r="K3" s="23"/>
      <c r="L3" s="23"/>
      <c r="M3" s="23" t="s">
        <v>4</v>
      </c>
      <c r="N3" s="23"/>
      <c r="O3" s="23"/>
    </row>
    <row r="4" spans="1:15" ht="36" customHeight="1" x14ac:dyDescent="0.3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</row>
    <row r="5" spans="1:15" x14ac:dyDescent="0.35">
      <c r="A5" s="3">
        <v>1</v>
      </c>
      <c r="B5" s="3">
        <v>1</v>
      </c>
      <c r="C5" s="3" t="s">
        <v>20</v>
      </c>
      <c r="D5" s="4" t="s">
        <v>21</v>
      </c>
      <c r="E5" s="4" t="s">
        <v>22</v>
      </c>
      <c r="F5" s="16">
        <v>0.88541666666666663</v>
      </c>
      <c r="G5" s="16">
        <v>0.99930555555555556</v>
      </c>
      <c r="H5" s="17">
        <v>0.95</v>
      </c>
      <c r="I5" s="17">
        <v>59.87</v>
      </c>
      <c r="J5" s="17">
        <v>17.32</v>
      </c>
      <c r="K5" s="17">
        <v>94.77</v>
      </c>
      <c r="L5" s="5">
        <v>39</v>
      </c>
      <c r="M5" s="4">
        <v>5</v>
      </c>
      <c r="N5" s="4">
        <v>2</v>
      </c>
      <c r="O5" s="4">
        <v>0.1</v>
      </c>
    </row>
    <row r="6" spans="1:15" x14ac:dyDescent="0.35">
      <c r="A6" s="6">
        <v>1</v>
      </c>
      <c r="B6" s="6">
        <v>2</v>
      </c>
      <c r="C6" s="6" t="s">
        <v>23</v>
      </c>
      <c r="D6" s="7" t="s">
        <v>21</v>
      </c>
      <c r="E6" s="7" t="s">
        <v>22</v>
      </c>
      <c r="F6" s="18">
        <v>0.90694444444444444</v>
      </c>
      <c r="G6" s="18">
        <v>0.15972222222222221</v>
      </c>
      <c r="H6" s="17">
        <v>1.06</v>
      </c>
      <c r="I6" s="17">
        <v>39.5</v>
      </c>
      <c r="J6" s="17">
        <v>17.55</v>
      </c>
      <c r="K6" s="17">
        <v>91.65</v>
      </c>
      <c r="L6" s="8">
        <v>23</v>
      </c>
      <c r="M6" s="7">
        <v>5</v>
      </c>
      <c r="N6" s="7">
        <v>2</v>
      </c>
      <c r="O6" s="7">
        <v>0.1</v>
      </c>
    </row>
    <row r="7" spans="1:15" x14ac:dyDescent="0.35">
      <c r="A7" s="3">
        <v>1</v>
      </c>
      <c r="B7" s="3">
        <v>3</v>
      </c>
      <c r="C7" s="3" t="s">
        <v>24</v>
      </c>
      <c r="D7" s="4" t="s">
        <v>21</v>
      </c>
      <c r="E7" s="4" t="s">
        <v>22</v>
      </c>
      <c r="F7" s="16">
        <v>0.91874999999999996</v>
      </c>
      <c r="G7" s="16">
        <v>0.16597222222222222</v>
      </c>
      <c r="H7" s="17">
        <v>0.96</v>
      </c>
      <c r="I7" s="17">
        <v>36.880000000000003</v>
      </c>
      <c r="J7" s="17">
        <v>17.39</v>
      </c>
      <c r="K7" s="17">
        <v>91.37</v>
      </c>
      <c r="L7" s="5">
        <v>14</v>
      </c>
      <c r="M7" s="4">
        <v>5</v>
      </c>
      <c r="N7" s="4">
        <v>2</v>
      </c>
      <c r="O7" s="4">
        <v>0.1</v>
      </c>
    </row>
    <row r="8" spans="1:15" x14ac:dyDescent="0.35">
      <c r="A8" s="6">
        <v>1</v>
      </c>
      <c r="B8" s="6">
        <v>4</v>
      </c>
      <c r="C8" s="6" t="s">
        <v>25</v>
      </c>
      <c r="D8" s="7" t="s">
        <v>21</v>
      </c>
      <c r="E8" s="7" t="s">
        <v>22</v>
      </c>
      <c r="F8" s="18">
        <v>0.92986111111111114</v>
      </c>
      <c r="G8" s="18">
        <v>0.15555555555555556</v>
      </c>
      <c r="H8" s="17">
        <v>1.03</v>
      </c>
      <c r="I8" s="17">
        <v>34.29</v>
      </c>
      <c r="J8" s="17">
        <v>17.39</v>
      </c>
      <c r="K8" s="17">
        <v>92.69</v>
      </c>
      <c r="L8" s="8">
        <v>12</v>
      </c>
      <c r="M8" s="7">
        <v>5</v>
      </c>
      <c r="N8" s="7">
        <v>2</v>
      </c>
      <c r="O8" s="7">
        <v>0.1</v>
      </c>
    </row>
    <row r="9" spans="1:15" x14ac:dyDescent="0.35">
      <c r="A9" s="3">
        <v>1</v>
      </c>
      <c r="B9" s="3">
        <v>5</v>
      </c>
      <c r="C9" s="3" t="s">
        <v>26</v>
      </c>
      <c r="D9" s="4" t="s">
        <v>21</v>
      </c>
      <c r="E9" s="4" t="s">
        <v>22</v>
      </c>
      <c r="F9" s="16">
        <v>0.94097222222222221</v>
      </c>
      <c r="G9" s="16">
        <v>0.14166666666666666</v>
      </c>
      <c r="H9" s="17">
        <v>1.33</v>
      </c>
      <c r="I9" s="17">
        <v>21.99</v>
      </c>
      <c r="J9" s="17">
        <v>18.37</v>
      </c>
      <c r="K9" s="17">
        <v>92.9</v>
      </c>
      <c r="L9" s="5">
        <v>11</v>
      </c>
      <c r="M9" s="4">
        <v>5</v>
      </c>
      <c r="N9" s="4">
        <v>2</v>
      </c>
      <c r="O9" s="4">
        <v>0.1</v>
      </c>
    </row>
    <row r="10" spans="1:15" x14ac:dyDescent="0.35">
      <c r="A10" s="6">
        <v>2</v>
      </c>
      <c r="B10" s="6">
        <v>1</v>
      </c>
      <c r="C10" s="6" t="s">
        <v>20</v>
      </c>
      <c r="D10" s="7" t="s">
        <v>21</v>
      </c>
      <c r="E10" s="7" t="s">
        <v>22</v>
      </c>
      <c r="F10" s="18">
        <v>0.9604166666666667</v>
      </c>
      <c r="G10" s="18">
        <v>0.81180555555555556</v>
      </c>
      <c r="H10" s="17">
        <v>1.08</v>
      </c>
      <c r="I10" s="17">
        <v>37.44</v>
      </c>
      <c r="J10" s="17">
        <v>17.48</v>
      </c>
      <c r="K10" s="17">
        <v>93.01</v>
      </c>
      <c r="L10" s="8">
        <v>42</v>
      </c>
      <c r="M10" s="7">
        <v>5</v>
      </c>
      <c r="N10" s="7">
        <v>2</v>
      </c>
      <c r="O10" s="7">
        <v>0.1</v>
      </c>
    </row>
    <row r="11" spans="1:15" x14ac:dyDescent="0.35">
      <c r="A11" s="3">
        <v>2</v>
      </c>
      <c r="B11" s="3">
        <v>2</v>
      </c>
      <c r="C11" s="3" t="s">
        <v>23</v>
      </c>
      <c r="D11" s="4" t="s">
        <v>21</v>
      </c>
      <c r="E11" s="4" t="s">
        <v>22</v>
      </c>
      <c r="F11" s="16">
        <v>0.97638888888888886</v>
      </c>
      <c r="G11" s="16">
        <v>0.13541666666666666</v>
      </c>
      <c r="H11" s="17">
        <v>0.91</v>
      </c>
      <c r="I11" s="17">
        <v>43.33</v>
      </c>
      <c r="J11" s="17">
        <v>17.5</v>
      </c>
      <c r="K11" s="17">
        <v>91.81</v>
      </c>
      <c r="L11" s="5">
        <v>10</v>
      </c>
      <c r="M11" s="4">
        <v>5</v>
      </c>
      <c r="N11" s="4">
        <v>2</v>
      </c>
      <c r="O11" s="4">
        <v>0.1</v>
      </c>
    </row>
    <row r="12" spans="1:15" x14ac:dyDescent="0.35">
      <c r="A12" s="6">
        <v>2</v>
      </c>
      <c r="B12" s="6">
        <v>3</v>
      </c>
      <c r="C12" s="6" t="s">
        <v>24</v>
      </c>
      <c r="D12" s="7" t="s">
        <v>21</v>
      </c>
      <c r="E12" s="7" t="s">
        <v>22</v>
      </c>
      <c r="F12" s="18">
        <v>0.9868055555555556</v>
      </c>
      <c r="G12" s="18">
        <v>0.13680555555555557</v>
      </c>
      <c r="H12" s="17">
        <v>1.04</v>
      </c>
      <c r="I12" s="17">
        <v>35.9</v>
      </c>
      <c r="J12" s="17">
        <v>18.45</v>
      </c>
      <c r="K12" s="17">
        <v>92.63</v>
      </c>
      <c r="L12" s="8">
        <v>6</v>
      </c>
      <c r="M12" s="7">
        <v>5</v>
      </c>
      <c r="N12" s="7">
        <v>2</v>
      </c>
      <c r="O12" s="7">
        <v>0.1</v>
      </c>
    </row>
    <row r="13" spans="1:15" x14ac:dyDescent="0.35">
      <c r="A13" s="3">
        <v>2</v>
      </c>
      <c r="B13" s="3">
        <v>4</v>
      </c>
      <c r="C13" s="3" t="s">
        <v>25</v>
      </c>
      <c r="D13" s="4" t="s">
        <v>21</v>
      </c>
      <c r="E13" s="4" t="s">
        <v>22</v>
      </c>
      <c r="F13" s="16">
        <v>0.99722222222222223</v>
      </c>
      <c r="G13" s="16">
        <v>0.15069444444444444</v>
      </c>
      <c r="H13" s="17">
        <v>0.9</v>
      </c>
      <c r="I13" s="17">
        <v>26.14</v>
      </c>
      <c r="J13" s="17">
        <v>17.489999999999998</v>
      </c>
      <c r="K13" s="17">
        <v>90.78</v>
      </c>
      <c r="L13" s="5">
        <v>5</v>
      </c>
      <c r="M13" s="4">
        <v>5</v>
      </c>
      <c r="N13" s="4">
        <v>2</v>
      </c>
      <c r="O13" s="4">
        <v>0.1</v>
      </c>
    </row>
    <row r="14" spans="1:15" x14ac:dyDescent="0.35">
      <c r="A14" s="6">
        <v>2</v>
      </c>
      <c r="B14" s="6">
        <v>5</v>
      </c>
      <c r="C14" s="6" t="s">
        <v>26</v>
      </c>
      <c r="D14" s="7" t="s">
        <v>21</v>
      </c>
      <c r="E14" s="7" t="s">
        <v>22</v>
      </c>
      <c r="F14" s="18">
        <v>6.9444444444444441E-3</v>
      </c>
      <c r="G14" s="18">
        <v>0.13194444444444445</v>
      </c>
      <c r="H14" s="17">
        <v>1.1100000000000001</v>
      </c>
      <c r="I14" s="17">
        <v>40.22</v>
      </c>
      <c r="J14" s="17">
        <v>17.579999999999998</v>
      </c>
      <c r="K14" s="17">
        <v>92.09</v>
      </c>
      <c r="L14" s="8">
        <v>6</v>
      </c>
      <c r="M14" s="7">
        <v>5</v>
      </c>
      <c r="N14" s="7">
        <v>2</v>
      </c>
      <c r="O14" s="7">
        <v>0.1</v>
      </c>
    </row>
    <row r="15" spans="1:15" x14ac:dyDescent="0.35">
      <c r="A15" s="3">
        <v>3</v>
      </c>
      <c r="B15" s="3">
        <v>1</v>
      </c>
      <c r="C15" s="3" t="s">
        <v>20</v>
      </c>
      <c r="D15" s="4" t="s">
        <v>21</v>
      </c>
      <c r="E15" s="4" t="s">
        <v>22</v>
      </c>
      <c r="F15" s="16">
        <v>0.84166666666666667</v>
      </c>
      <c r="G15" s="16">
        <v>0.96875</v>
      </c>
      <c r="H15" s="17">
        <v>1.04</v>
      </c>
      <c r="I15" s="17">
        <v>39.799999999999997</v>
      </c>
      <c r="J15" s="17">
        <v>17.11</v>
      </c>
      <c r="K15" s="17">
        <v>92.72</v>
      </c>
      <c r="L15" s="5">
        <v>44</v>
      </c>
      <c r="M15" s="4">
        <v>5</v>
      </c>
      <c r="N15" s="4">
        <v>2</v>
      </c>
      <c r="O15" s="4">
        <v>0.1</v>
      </c>
    </row>
    <row r="16" spans="1:15" x14ac:dyDescent="0.35">
      <c r="A16" s="6">
        <v>3</v>
      </c>
      <c r="B16" s="6">
        <v>2</v>
      </c>
      <c r="C16" s="6" t="s">
        <v>23</v>
      </c>
      <c r="D16" s="7" t="s">
        <v>21</v>
      </c>
      <c r="E16" s="7" t="s">
        <v>22</v>
      </c>
      <c r="F16" s="18">
        <v>0.85902777777777772</v>
      </c>
      <c r="G16" s="18">
        <v>0.14305555555555555</v>
      </c>
      <c r="H16" s="17">
        <v>1</v>
      </c>
      <c r="I16" s="17">
        <v>39.25</v>
      </c>
      <c r="J16" s="17">
        <v>18.21</v>
      </c>
      <c r="K16" s="17">
        <v>93.04</v>
      </c>
      <c r="L16" s="8">
        <v>10</v>
      </c>
      <c r="M16" s="7">
        <v>5</v>
      </c>
      <c r="N16" s="7">
        <v>2</v>
      </c>
      <c r="O16" s="7">
        <v>0.1</v>
      </c>
    </row>
    <row r="17" spans="1:15" x14ac:dyDescent="0.35">
      <c r="A17" s="3">
        <v>3</v>
      </c>
      <c r="B17" s="3">
        <v>3</v>
      </c>
      <c r="C17" s="3" t="s">
        <v>24</v>
      </c>
      <c r="D17" s="4" t="s">
        <v>21</v>
      </c>
      <c r="E17" s="4" t="s">
        <v>22</v>
      </c>
      <c r="F17" s="16">
        <v>0.87152777777777779</v>
      </c>
      <c r="G17" s="16">
        <v>0.15902777777777777</v>
      </c>
      <c r="H17" s="17">
        <v>2.69</v>
      </c>
      <c r="I17" s="17">
        <v>30.27</v>
      </c>
      <c r="J17" s="17">
        <v>17.43</v>
      </c>
      <c r="K17" s="17">
        <v>90.98</v>
      </c>
      <c r="L17" s="5">
        <v>7</v>
      </c>
      <c r="M17" s="4">
        <v>5</v>
      </c>
      <c r="N17" s="4">
        <v>2</v>
      </c>
      <c r="O17" s="4">
        <v>0.1</v>
      </c>
    </row>
    <row r="18" spans="1:15" x14ac:dyDescent="0.35">
      <c r="A18" s="6">
        <v>3</v>
      </c>
      <c r="B18" s="6">
        <v>4</v>
      </c>
      <c r="C18" s="6" t="s">
        <v>25</v>
      </c>
      <c r="D18" s="7" t="s">
        <v>21</v>
      </c>
      <c r="E18" s="7" t="s">
        <v>22</v>
      </c>
      <c r="F18" s="18">
        <v>0.88472222222222219</v>
      </c>
      <c r="G18" s="18">
        <v>0.13680555555555557</v>
      </c>
      <c r="H18" s="17">
        <v>0.97</v>
      </c>
      <c r="I18" s="17">
        <v>42.05</v>
      </c>
      <c r="J18" s="17">
        <v>17.48</v>
      </c>
      <c r="K18" s="17">
        <v>91.85</v>
      </c>
      <c r="L18" s="8">
        <v>7</v>
      </c>
      <c r="M18" s="7">
        <v>5</v>
      </c>
      <c r="N18" s="7">
        <v>2</v>
      </c>
      <c r="O18" s="7">
        <v>0.1</v>
      </c>
    </row>
    <row r="19" spans="1:15" x14ac:dyDescent="0.35">
      <c r="A19" s="3">
        <v>3</v>
      </c>
      <c r="B19" s="3">
        <v>5</v>
      </c>
      <c r="C19" s="3" t="s">
        <v>26</v>
      </c>
      <c r="D19" s="4" t="s">
        <v>21</v>
      </c>
      <c r="E19" s="4" t="s">
        <v>22</v>
      </c>
      <c r="F19" s="16">
        <v>0.89513888888888893</v>
      </c>
      <c r="G19" s="16">
        <v>0.15069444444444444</v>
      </c>
      <c r="H19" s="17">
        <v>3.08</v>
      </c>
      <c r="I19" s="17">
        <v>43.8</v>
      </c>
      <c r="J19" s="17">
        <v>18.420000000000002</v>
      </c>
      <c r="K19" s="17">
        <v>92.83</v>
      </c>
      <c r="L19" s="5">
        <v>20</v>
      </c>
      <c r="M19" s="4">
        <v>5</v>
      </c>
      <c r="N19" s="4">
        <v>2</v>
      </c>
      <c r="O19" s="4">
        <v>0.1</v>
      </c>
    </row>
    <row r="20" spans="1:15" x14ac:dyDescent="0.35">
      <c r="A20" s="6">
        <v>1</v>
      </c>
      <c r="B20" s="6">
        <v>1</v>
      </c>
      <c r="C20" s="6" t="s">
        <v>20</v>
      </c>
      <c r="D20" s="7" t="s">
        <v>21</v>
      </c>
      <c r="E20" s="7" t="s">
        <v>27</v>
      </c>
      <c r="F20" s="18">
        <v>0.92083333333333328</v>
      </c>
      <c r="G20" s="8">
        <v>46.38</v>
      </c>
      <c r="H20" s="17">
        <v>3.53</v>
      </c>
      <c r="I20" s="17">
        <v>37.51</v>
      </c>
      <c r="J20" s="17">
        <v>17.579999999999998</v>
      </c>
      <c r="K20" s="17">
        <v>92.86</v>
      </c>
      <c r="L20" s="8">
        <v>23</v>
      </c>
      <c r="M20" s="7">
        <v>20</v>
      </c>
      <c r="N20" s="7">
        <v>7</v>
      </c>
      <c r="O20" s="7">
        <v>0.7</v>
      </c>
    </row>
    <row r="21" spans="1:15" x14ac:dyDescent="0.35">
      <c r="A21" s="3">
        <v>1</v>
      </c>
      <c r="B21" s="3">
        <v>2</v>
      </c>
      <c r="C21" s="3" t="s">
        <v>23</v>
      </c>
      <c r="D21" s="4" t="s">
        <v>21</v>
      </c>
      <c r="E21" s="4" t="s">
        <v>27</v>
      </c>
      <c r="F21" s="16">
        <v>0.95833333333333337</v>
      </c>
      <c r="G21" s="5">
        <v>3.25</v>
      </c>
      <c r="H21" s="17">
        <v>2.37</v>
      </c>
      <c r="I21" s="17">
        <v>36.94</v>
      </c>
      <c r="J21" s="17">
        <v>17.48</v>
      </c>
      <c r="K21" s="17">
        <v>91.12</v>
      </c>
      <c r="L21" s="5">
        <v>9</v>
      </c>
      <c r="M21" s="4">
        <v>20</v>
      </c>
      <c r="N21" s="4">
        <v>7</v>
      </c>
      <c r="O21" s="4">
        <v>0.7</v>
      </c>
    </row>
    <row r="22" spans="1:15" x14ac:dyDescent="0.35">
      <c r="A22" s="6">
        <v>1</v>
      </c>
      <c r="B22" s="6">
        <v>3</v>
      </c>
      <c r="C22" s="6" t="s">
        <v>24</v>
      </c>
      <c r="D22" s="7" t="s">
        <v>21</v>
      </c>
      <c r="E22" s="7" t="s">
        <v>27</v>
      </c>
      <c r="F22" s="18">
        <v>0.96666666666666667</v>
      </c>
      <c r="G22" s="8">
        <v>3.21</v>
      </c>
      <c r="H22" s="17">
        <v>2.42</v>
      </c>
      <c r="I22" s="17">
        <v>38.08</v>
      </c>
      <c r="J22" s="17">
        <v>17.920000000000002</v>
      </c>
      <c r="K22" s="17">
        <v>91.69</v>
      </c>
      <c r="L22" s="8">
        <v>5</v>
      </c>
      <c r="M22" s="7">
        <v>20</v>
      </c>
      <c r="N22" s="7">
        <v>7</v>
      </c>
      <c r="O22" s="7">
        <v>0.7</v>
      </c>
    </row>
    <row r="23" spans="1:15" x14ac:dyDescent="0.35">
      <c r="A23" s="3">
        <v>1</v>
      </c>
      <c r="B23" s="3">
        <v>4</v>
      </c>
      <c r="C23" s="3" t="s">
        <v>25</v>
      </c>
      <c r="D23" s="4" t="s">
        <v>21</v>
      </c>
      <c r="E23" s="4" t="s">
        <v>27</v>
      </c>
      <c r="F23" s="16">
        <v>0.46041666666666664</v>
      </c>
      <c r="G23" s="5">
        <v>5.23</v>
      </c>
      <c r="H23" s="17">
        <v>1.01</v>
      </c>
      <c r="I23" s="17">
        <v>30.31</v>
      </c>
      <c r="J23" s="17">
        <v>17.66</v>
      </c>
      <c r="K23" s="17">
        <v>93.12</v>
      </c>
      <c r="L23" s="5">
        <v>10</v>
      </c>
      <c r="M23" s="4">
        <v>20</v>
      </c>
      <c r="N23" s="4">
        <v>7</v>
      </c>
      <c r="O23" s="4">
        <v>0.7</v>
      </c>
    </row>
    <row r="24" spans="1:15" x14ac:dyDescent="0.35">
      <c r="A24" s="6">
        <v>1</v>
      </c>
      <c r="B24" s="6">
        <v>5</v>
      </c>
      <c r="C24" s="6" t="s">
        <v>26</v>
      </c>
      <c r="D24" s="7" t="s">
        <v>21</v>
      </c>
      <c r="E24" s="7" t="s">
        <v>27</v>
      </c>
      <c r="F24" s="18">
        <v>0.47083333333333333</v>
      </c>
      <c r="G24" s="8">
        <v>3.49</v>
      </c>
      <c r="H24" s="17">
        <v>2.54</v>
      </c>
      <c r="I24" s="17">
        <v>29.07</v>
      </c>
      <c r="J24" s="17">
        <v>17.61</v>
      </c>
      <c r="K24" s="17">
        <v>92.13</v>
      </c>
      <c r="L24" s="8">
        <v>8</v>
      </c>
      <c r="M24" s="7">
        <v>20</v>
      </c>
      <c r="N24" s="7">
        <v>7</v>
      </c>
      <c r="O24" s="7">
        <v>0.7</v>
      </c>
    </row>
    <row r="25" spans="1:15" x14ac:dyDescent="0.35">
      <c r="A25" s="3">
        <v>2</v>
      </c>
      <c r="B25" s="3">
        <v>1</v>
      </c>
      <c r="C25" s="3" t="s">
        <v>20</v>
      </c>
      <c r="D25" s="4" t="s">
        <v>21</v>
      </c>
      <c r="E25" s="4" t="s">
        <v>27</v>
      </c>
      <c r="F25" s="16">
        <v>0.60347222222222219</v>
      </c>
      <c r="G25" s="5">
        <v>37.340000000000003</v>
      </c>
      <c r="H25" s="17">
        <v>3.6</v>
      </c>
      <c r="I25" s="17">
        <v>36.409999999999997</v>
      </c>
      <c r="J25" s="17">
        <v>18.52</v>
      </c>
      <c r="K25" s="17">
        <v>92.83</v>
      </c>
      <c r="L25" s="5">
        <v>23</v>
      </c>
      <c r="M25" s="4">
        <v>20</v>
      </c>
      <c r="N25" s="4">
        <v>7</v>
      </c>
      <c r="O25" s="4">
        <v>0.7</v>
      </c>
    </row>
    <row r="26" spans="1:15" x14ac:dyDescent="0.35">
      <c r="A26" s="6">
        <v>2</v>
      </c>
      <c r="B26" s="6">
        <v>2</v>
      </c>
      <c r="C26" s="6" t="s">
        <v>23</v>
      </c>
      <c r="D26" s="7" t="s">
        <v>21</v>
      </c>
      <c r="E26" s="7" t="s">
        <v>27</v>
      </c>
      <c r="F26" s="18">
        <v>0.6333333333333333</v>
      </c>
      <c r="G26" s="8">
        <v>3.34</v>
      </c>
      <c r="H26" s="17">
        <v>2.1</v>
      </c>
      <c r="I26" s="17">
        <v>38.090000000000003</v>
      </c>
      <c r="J26" s="17">
        <v>17.59</v>
      </c>
      <c r="K26" s="17">
        <v>91.75</v>
      </c>
      <c r="L26" s="8">
        <v>7</v>
      </c>
      <c r="M26" s="7">
        <v>20</v>
      </c>
      <c r="N26" s="7">
        <v>7</v>
      </c>
      <c r="O26" s="7">
        <v>0.7</v>
      </c>
    </row>
    <row r="27" spans="1:15" x14ac:dyDescent="0.35">
      <c r="A27" s="3">
        <v>2</v>
      </c>
      <c r="B27" s="3">
        <v>3</v>
      </c>
      <c r="C27" s="3" t="s">
        <v>24</v>
      </c>
      <c r="D27" s="4" t="s">
        <v>21</v>
      </c>
      <c r="E27" s="4" t="s">
        <v>27</v>
      </c>
      <c r="F27" s="16">
        <v>0.64861111111111114</v>
      </c>
      <c r="G27" s="5">
        <v>3.24</v>
      </c>
      <c r="H27" s="17">
        <v>1.17</v>
      </c>
      <c r="I27" s="17">
        <v>32.270000000000003</v>
      </c>
      <c r="J27" s="17">
        <v>18.46</v>
      </c>
      <c r="K27" s="17">
        <v>91.82</v>
      </c>
      <c r="L27" s="5">
        <v>7</v>
      </c>
      <c r="M27" s="4">
        <v>20</v>
      </c>
      <c r="N27" s="4">
        <v>7</v>
      </c>
      <c r="O27" s="4">
        <v>0.7</v>
      </c>
    </row>
    <row r="28" spans="1:15" x14ac:dyDescent="0.35">
      <c r="A28" s="6">
        <v>2</v>
      </c>
      <c r="B28" s="6">
        <v>4</v>
      </c>
      <c r="C28" s="6" t="s">
        <v>25</v>
      </c>
      <c r="D28" s="7" t="s">
        <v>21</v>
      </c>
      <c r="E28" s="7" t="s">
        <v>27</v>
      </c>
      <c r="F28" s="18">
        <v>0.65972222222222221</v>
      </c>
      <c r="G28" s="8">
        <v>3.23</v>
      </c>
      <c r="H28" s="17">
        <v>2.75</v>
      </c>
      <c r="I28" s="17">
        <v>28.89</v>
      </c>
      <c r="J28" s="17">
        <v>17.559999999999999</v>
      </c>
      <c r="K28" s="17">
        <v>91.88</v>
      </c>
      <c r="L28" s="8">
        <v>5</v>
      </c>
      <c r="M28" s="7">
        <v>20</v>
      </c>
      <c r="N28" s="7">
        <v>7</v>
      </c>
      <c r="O28" s="7">
        <v>0.7</v>
      </c>
    </row>
    <row r="29" spans="1:15" x14ac:dyDescent="0.35">
      <c r="A29" s="3">
        <v>2</v>
      </c>
      <c r="B29" s="3">
        <v>5</v>
      </c>
      <c r="C29" s="3" t="s">
        <v>26</v>
      </c>
      <c r="D29" s="4" t="s">
        <v>21</v>
      </c>
      <c r="E29" s="4" t="s">
        <v>27</v>
      </c>
      <c r="F29" s="16">
        <v>0.67152777777777772</v>
      </c>
      <c r="G29" s="5">
        <v>3.35</v>
      </c>
      <c r="H29" s="17">
        <v>2.4700000000000002</v>
      </c>
      <c r="I29" s="17">
        <v>30.76</v>
      </c>
      <c r="J29" s="17">
        <v>17.57</v>
      </c>
      <c r="K29" s="17">
        <v>91.67</v>
      </c>
      <c r="L29" s="5">
        <v>5</v>
      </c>
      <c r="M29" s="4">
        <v>20</v>
      </c>
      <c r="N29" s="4">
        <v>7</v>
      </c>
      <c r="O29" s="4">
        <v>0.7</v>
      </c>
    </row>
    <row r="30" spans="1:15" x14ac:dyDescent="0.35">
      <c r="A30" s="6">
        <v>3</v>
      </c>
      <c r="B30" s="6">
        <v>1</v>
      </c>
      <c r="C30" s="6" t="s">
        <v>20</v>
      </c>
      <c r="D30" s="7" t="s">
        <v>21</v>
      </c>
      <c r="E30" s="7" t="s">
        <v>27</v>
      </c>
      <c r="F30" s="18">
        <v>0.84375</v>
      </c>
      <c r="G30" s="8">
        <v>48.54</v>
      </c>
      <c r="H30" s="17">
        <v>3.37</v>
      </c>
      <c r="I30" s="17">
        <v>22.7</v>
      </c>
      <c r="J30" s="17">
        <v>17.72</v>
      </c>
      <c r="K30" s="17">
        <v>93.11</v>
      </c>
      <c r="L30" s="8">
        <v>22</v>
      </c>
      <c r="M30" s="7">
        <v>20</v>
      </c>
      <c r="N30" s="7">
        <v>7</v>
      </c>
      <c r="O30" s="7">
        <v>0.7</v>
      </c>
    </row>
    <row r="31" spans="1:15" x14ac:dyDescent="0.35">
      <c r="A31" s="3">
        <v>3</v>
      </c>
      <c r="B31" s="3">
        <v>2</v>
      </c>
      <c r="C31" s="3" t="s">
        <v>23</v>
      </c>
      <c r="D31" s="4" t="s">
        <v>21</v>
      </c>
      <c r="E31" s="4" t="s">
        <v>27</v>
      </c>
      <c r="F31" s="16">
        <v>0.93055555555555558</v>
      </c>
      <c r="G31" s="5">
        <v>4.5199999999999996</v>
      </c>
      <c r="H31" s="17">
        <v>2.42</v>
      </c>
      <c r="I31" s="17">
        <v>29.14</v>
      </c>
      <c r="J31" s="17">
        <v>17.920000000000002</v>
      </c>
      <c r="K31" s="17">
        <v>90.62</v>
      </c>
      <c r="L31" s="5">
        <v>11</v>
      </c>
      <c r="M31" s="4">
        <v>20</v>
      </c>
      <c r="N31" s="4">
        <v>7</v>
      </c>
      <c r="O31" s="4">
        <v>0.7</v>
      </c>
    </row>
    <row r="32" spans="1:15" x14ac:dyDescent="0.35">
      <c r="A32" s="6">
        <v>3</v>
      </c>
      <c r="B32" s="6">
        <v>3</v>
      </c>
      <c r="C32" s="6" t="s">
        <v>24</v>
      </c>
      <c r="D32" s="7" t="s">
        <v>21</v>
      </c>
      <c r="E32" s="7" t="s">
        <v>27</v>
      </c>
      <c r="F32" s="18">
        <v>0.94097222222222221</v>
      </c>
      <c r="G32" s="8">
        <v>3.24</v>
      </c>
      <c r="H32" s="17">
        <v>2.36</v>
      </c>
      <c r="I32" s="17">
        <v>31.29</v>
      </c>
      <c r="J32" s="17">
        <v>18.670000000000002</v>
      </c>
      <c r="K32" s="17">
        <v>92.54</v>
      </c>
      <c r="L32" s="8">
        <v>3</v>
      </c>
      <c r="M32" s="7">
        <v>20</v>
      </c>
      <c r="N32" s="7">
        <v>7</v>
      </c>
      <c r="O32" s="7">
        <v>0.7</v>
      </c>
    </row>
    <row r="33" spans="1:15" x14ac:dyDescent="0.35">
      <c r="A33" s="3">
        <v>3</v>
      </c>
      <c r="B33" s="3">
        <v>4</v>
      </c>
      <c r="C33" s="3" t="s">
        <v>25</v>
      </c>
      <c r="D33" s="4" t="s">
        <v>21</v>
      </c>
      <c r="E33" s="4" t="s">
        <v>27</v>
      </c>
      <c r="F33" s="16">
        <v>0.95208333333333328</v>
      </c>
      <c r="G33" s="5">
        <v>3.34</v>
      </c>
      <c r="H33" s="17">
        <v>2.17</v>
      </c>
      <c r="I33" s="17">
        <v>37.29</v>
      </c>
      <c r="J33" s="17">
        <v>17.61</v>
      </c>
      <c r="K33" s="17">
        <v>90.06</v>
      </c>
      <c r="L33" s="5">
        <v>1</v>
      </c>
      <c r="M33" s="4">
        <v>20</v>
      </c>
      <c r="N33" s="4">
        <v>7</v>
      </c>
      <c r="O33" s="4">
        <v>0.7</v>
      </c>
    </row>
    <row r="34" spans="1:15" x14ac:dyDescent="0.35">
      <c r="A34" s="6">
        <v>3</v>
      </c>
      <c r="B34" s="6">
        <v>5</v>
      </c>
      <c r="C34" s="6" t="s">
        <v>26</v>
      </c>
      <c r="D34" s="7" t="s">
        <v>21</v>
      </c>
      <c r="E34" s="7" t="s">
        <v>27</v>
      </c>
      <c r="F34" s="18">
        <v>0.96319444444444446</v>
      </c>
      <c r="G34" s="8">
        <v>3.17</v>
      </c>
      <c r="H34" s="17">
        <v>2.57</v>
      </c>
      <c r="I34" s="17">
        <v>33.51</v>
      </c>
      <c r="J34" s="17">
        <v>17.62</v>
      </c>
      <c r="K34" s="17">
        <v>90.9</v>
      </c>
      <c r="L34" s="8">
        <v>4</v>
      </c>
      <c r="M34" s="7">
        <v>20</v>
      </c>
      <c r="N34" s="7">
        <v>7</v>
      </c>
      <c r="O34" s="7">
        <v>0.7</v>
      </c>
    </row>
    <row r="35" spans="1:15" x14ac:dyDescent="0.35">
      <c r="A35" s="3">
        <v>1</v>
      </c>
      <c r="B35" s="3">
        <v>1</v>
      </c>
      <c r="C35" s="3" t="s">
        <v>20</v>
      </c>
      <c r="D35" s="4" t="s">
        <v>21</v>
      </c>
      <c r="E35" s="4" t="s">
        <v>28</v>
      </c>
      <c r="F35" s="16">
        <v>0.88263888888888886</v>
      </c>
      <c r="G35" s="5">
        <v>88.11</v>
      </c>
      <c r="H35" s="17">
        <v>2.38</v>
      </c>
      <c r="I35" s="17">
        <v>31.03</v>
      </c>
      <c r="J35" s="17">
        <v>18.48</v>
      </c>
      <c r="K35" s="17">
        <v>93.22</v>
      </c>
      <c r="L35" s="5">
        <v>13</v>
      </c>
      <c r="M35" s="4">
        <v>30</v>
      </c>
      <c r="N35" s="4">
        <v>5</v>
      </c>
      <c r="O35" s="4">
        <v>0.3</v>
      </c>
    </row>
    <row r="36" spans="1:15" x14ac:dyDescent="0.35">
      <c r="A36" s="6">
        <v>1</v>
      </c>
      <c r="B36" s="6">
        <v>2</v>
      </c>
      <c r="C36" s="6" t="s">
        <v>23</v>
      </c>
      <c r="D36" s="7" t="s">
        <v>21</v>
      </c>
      <c r="E36" s="7" t="s">
        <v>28</v>
      </c>
      <c r="F36" s="18">
        <v>0.44722222222222224</v>
      </c>
      <c r="G36" s="18">
        <v>0.27291666666666664</v>
      </c>
      <c r="H36" s="17">
        <v>2.0699999999999998</v>
      </c>
      <c r="I36" s="17">
        <v>46.93</v>
      </c>
      <c r="J36" s="17">
        <v>17.7</v>
      </c>
      <c r="K36" s="17">
        <v>93.91</v>
      </c>
      <c r="L36" s="8">
        <v>10</v>
      </c>
      <c r="M36" s="7">
        <v>30</v>
      </c>
      <c r="N36" s="7">
        <v>5</v>
      </c>
      <c r="O36" s="7">
        <v>0.3</v>
      </c>
    </row>
    <row r="37" spans="1:15" x14ac:dyDescent="0.35">
      <c r="A37" s="3">
        <v>1</v>
      </c>
      <c r="B37" s="3">
        <v>3</v>
      </c>
      <c r="C37" s="3" t="s">
        <v>24</v>
      </c>
      <c r="D37" s="4" t="s">
        <v>21</v>
      </c>
      <c r="E37" s="4" t="s">
        <v>28</v>
      </c>
      <c r="F37" s="16">
        <v>0.45763888888888887</v>
      </c>
      <c r="G37" s="5">
        <v>5.03</v>
      </c>
      <c r="H37" s="17">
        <v>1.99</v>
      </c>
      <c r="I37" s="17">
        <v>43.61</v>
      </c>
      <c r="J37" s="17">
        <v>17.75</v>
      </c>
      <c r="K37" s="17">
        <v>93.67</v>
      </c>
      <c r="L37" s="5">
        <v>4</v>
      </c>
      <c r="M37" s="4">
        <v>30</v>
      </c>
      <c r="N37" s="4">
        <v>5</v>
      </c>
      <c r="O37" s="4">
        <v>0.3</v>
      </c>
    </row>
    <row r="38" spans="1:15" x14ac:dyDescent="0.35">
      <c r="A38" s="6">
        <v>1</v>
      </c>
      <c r="B38" s="6">
        <v>4</v>
      </c>
      <c r="C38" s="6" t="s">
        <v>25</v>
      </c>
      <c r="D38" s="7" t="s">
        <v>21</v>
      </c>
      <c r="E38" s="7" t="s">
        <v>28</v>
      </c>
      <c r="F38" s="18">
        <v>0.46805555555555556</v>
      </c>
      <c r="G38" s="8">
        <v>4.49</v>
      </c>
      <c r="H38" s="17">
        <v>1.08</v>
      </c>
      <c r="I38" s="17">
        <v>47.82</v>
      </c>
      <c r="J38" s="17">
        <v>18.41</v>
      </c>
      <c r="K38" s="17">
        <v>93.22</v>
      </c>
      <c r="L38" s="8">
        <v>6</v>
      </c>
      <c r="M38" s="7">
        <v>30</v>
      </c>
      <c r="N38" s="7">
        <v>5</v>
      </c>
      <c r="O38" s="7">
        <v>0.3</v>
      </c>
    </row>
    <row r="39" spans="1:15" x14ac:dyDescent="0.35">
      <c r="A39" s="3">
        <v>1</v>
      </c>
      <c r="B39" s="3">
        <v>5</v>
      </c>
      <c r="C39" s="3" t="s">
        <v>26</v>
      </c>
      <c r="D39" s="4" t="s">
        <v>21</v>
      </c>
      <c r="E39" s="4" t="s">
        <v>28</v>
      </c>
      <c r="F39" s="16">
        <v>0.4826388888888889</v>
      </c>
      <c r="G39" s="5">
        <v>3.56</v>
      </c>
      <c r="H39" s="17">
        <v>2.5</v>
      </c>
      <c r="I39" s="17">
        <v>37.18</v>
      </c>
      <c r="J39" s="17">
        <v>17.93</v>
      </c>
      <c r="K39" s="17">
        <v>93.14</v>
      </c>
      <c r="L39" s="5">
        <v>7</v>
      </c>
      <c r="M39" s="4">
        <v>30</v>
      </c>
      <c r="N39" s="4">
        <v>5</v>
      </c>
      <c r="O39" s="4">
        <v>0.3</v>
      </c>
    </row>
    <row r="40" spans="1:15" x14ac:dyDescent="0.35">
      <c r="A40" s="6">
        <v>2</v>
      </c>
      <c r="B40" s="6">
        <v>1</v>
      </c>
      <c r="C40" s="6" t="s">
        <v>20</v>
      </c>
      <c r="D40" s="7" t="s">
        <v>21</v>
      </c>
      <c r="E40" s="7" t="s">
        <v>28</v>
      </c>
      <c r="F40" s="18">
        <v>0.50277777777777777</v>
      </c>
      <c r="G40" s="8">
        <v>67.13</v>
      </c>
      <c r="H40" s="17">
        <v>2.0299999999999998</v>
      </c>
      <c r="I40" s="17">
        <v>26.93</v>
      </c>
      <c r="J40" s="17">
        <v>18.48</v>
      </c>
      <c r="K40" s="17">
        <v>92.1</v>
      </c>
      <c r="L40" s="8">
        <v>5</v>
      </c>
      <c r="M40" s="7">
        <v>30</v>
      </c>
      <c r="N40" s="7">
        <v>5</v>
      </c>
      <c r="O40" s="7">
        <v>0.3</v>
      </c>
    </row>
    <row r="41" spans="1:15" x14ac:dyDescent="0.35">
      <c r="A41" s="3">
        <v>2</v>
      </c>
      <c r="B41" s="3">
        <v>2</v>
      </c>
      <c r="C41" s="3" t="s">
        <v>23</v>
      </c>
      <c r="D41" s="4" t="s">
        <v>21</v>
      </c>
      <c r="E41" s="4" t="s">
        <v>28</v>
      </c>
      <c r="F41" s="16">
        <v>0.79236111111111107</v>
      </c>
      <c r="G41" s="5">
        <v>5.5</v>
      </c>
      <c r="H41" s="17">
        <v>2.27</v>
      </c>
      <c r="I41" s="17">
        <v>40.5</v>
      </c>
      <c r="J41" s="17">
        <v>17.829999999999998</v>
      </c>
      <c r="K41" s="17">
        <v>93.61</v>
      </c>
      <c r="L41" s="5">
        <v>9</v>
      </c>
      <c r="M41" s="4">
        <v>30</v>
      </c>
      <c r="N41" s="4">
        <v>5</v>
      </c>
      <c r="O41" s="4">
        <v>0.3</v>
      </c>
    </row>
    <row r="42" spans="1:15" x14ac:dyDescent="0.35">
      <c r="A42" s="6">
        <v>2</v>
      </c>
      <c r="B42" s="6">
        <v>3</v>
      </c>
      <c r="C42" s="6" t="s">
        <v>24</v>
      </c>
      <c r="D42" s="7" t="s">
        <v>21</v>
      </c>
      <c r="E42" s="7" t="s">
        <v>28</v>
      </c>
      <c r="F42" s="18">
        <v>0.81874999999999998</v>
      </c>
      <c r="G42" s="8">
        <v>7.25</v>
      </c>
      <c r="H42" s="17">
        <v>2.17</v>
      </c>
      <c r="I42" s="17">
        <v>45.96</v>
      </c>
      <c r="J42" s="17">
        <v>17.71</v>
      </c>
      <c r="K42" s="17">
        <v>93.47</v>
      </c>
      <c r="L42" s="8">
        <v>11</v>
      </c>
      <c r="M42" s="7">
        <v>30</v>
      </c>
      <c r="N42" s="7">
        <v>5</v>
      </c>
      <c r="O42" s="7">
        <v>0.3</v>
      </c>
    </row>
    <row r="43" spans="1:15" x14ac:dyDescent="0.35">
      <c r="A43" s="3">
        <v>2</v>
      </c>
      <c r="B43" s="3">
        <v>4</v>
      </c>
      <c r="C43" s="3" t="s">
        <v>25</v>
      </c>
      <c r="D43" s="4" t="s">
        <v>21</v>
      </c>
      <c r="E43" s="4" t="s">
        <v>28</v>
      </c>
      <c r="F43" s="16">
        <v>0.83125000000000004</v>
      </c>
      <c r="G43" s="5">
        <v>4.37</v>
      </c>
      <c r="H43" s="17">
        <v>2.54</v>
      </c>
      <c r="I43" s="17">
        <v>36.32</v>
      </c>
      <c r="J43" s="17">
        <v>18.03</v>
      </c>
      <c r="K43" s="17">
        <v>92.86</v>
      </c>
      <c r="L43" s="5">
        <v>5</v>
      </c>
      <c r="M43" s="4">
        <v>30</v>
      </c>
      <c r="N43" s="4">
        <v>5</v>
      </c>
      <c r="O43" s="4">
        <v>0.3</v>
      </c>
    </row>
    <row r="44" spans="1:15" x14ac:dyDescent="0.35">
      <c r="A44" s="6">
        <v>2</v>
      </c>
      <c r="B44" s="6">
        <v>5</v>
      </c>
      <c r="C44" s="6" t="s">
        <v>26</v>
      </c>
      <c r="D44" s="7" t="s">
        <v>21</v>
      </c>
      <c r="E44" s="7" t="s">
        <v>28</v>
      </c>
      <c r="F44" s="18">
        <v>0.84236111111111112</v>
      </c>
      <c r="G44" s="8">
        <v>3.58</v>
      </c>
      <c r="H44" s="17">
        <v>2.5299999999999998</v>
      </c>
      <c r="I44" s="17">
        <v>29.55</v>
      </c>
      <c r="J44" s="17">
        <v>18.46</v>
      </c>
      <c r="K44" s="17">
        <v>93.51</v>
      </c>
      <c r="L44" s="8">
        <v>7</v>
      </c>
      <c r="M44" s="7">
        <v>30</v>
      </c>
      <c r="N44" s="7">
        <v>5</v>
      </c>
      <c r="O44" s="7">
        <v>0.3</v>
      </c>
    </row>
    <row r="45" spans="1:15" x14ac:dyDescent="0.35">
      <c r="A45" s="3">
        <v>3</v>
      </c>
      <c r="B45" s="3">
        <v>1</v>
      </c>
      <c r="C45" s="3" t="s">
        <v>20</v>
      </c>
      <c r="D45" s="4" t="s">
        <v>21</v>
      </c>
      <c r="E45" s="4" t="s">
        <v>28</v>
      </c>
      <c r="F45" s="16">
        <v>0.85833333333333328</v>
      </c>
      <c r="G45" s="5">
        <v>70</v>
      </c>
      <c r="H45" s="17">
        <v>2.84</v>
      </c>
      <c r="I45" s="17">
        <v>40.130000000000003</v>
      </c>
      <c r="J45" s="17">
        <v>17.649999999999999</v>
      </c>
      <c r="K45" s="17">
        <v>93.93</v>
      </c>
      <c r="L45" s="5">
        <v>10</v>
      </c>
      <c r="M45" s="4">
        <v>30</v>
      </c>
      <c r="N45" s="4">
        <v>5</v>
      </c>
      <c r="O45" s="4">
        <v>0.3</v>
      </c>
    </row>
    <row r="46" spans="1:15" x14ac:dyDescent="0.35">
      <c r="A46" s="6">
        <v>3</v>
      </c>
      <c r="B46" s="6">
        <v>2</v>
      </c>
      <c r="C46" s="6" t="s">
        <v>23</v>
      </c>
      <c r="D46" s="7" t="s">
        <v>21</v>
      </c>
      <c r="E46" s="7" t="s">
        <v>28</v>
      </c>
      <c r="F46" s="18">
        <v>0.94861111111111107</v>
      </c>
      <c r="G46" s="8">
        <v>4.26</v>
      </c>
      <c r="H46" s="17">
        <v>2.44</v>
      </c>
      <c r="I46" s="17">
        <v>33.46</v>
      </c>
      <c r="J46" s="17">
        <v>18.14</v>
      </c>
      <c r="K46" s="17">
        <v>92.77</v>
      </c>
      <c r="L46" s="8">
        <v>12</v>
      </c>
      <c r="M46" s="7">
        <v>30</v>
      </c>
      <c r="N46" s="7">
        <v>5</v>
      </c>
      <c r="O46" s="7">
        <v>0.3</v>
      </c>
    </row>
    <row r="47" spans="1:15" x14ac:dyDescent="0.35">
      <c r="A47" s="3">
        <v>3</v>
      </c>
      <c r="B47" s="3">
        <v>3</v>
      </c>
      <c r="C47" s="3" t="s">
        <v>24</v>
      </c>
      <c r="D47" s="4" t="s">
        <v>21</v>
      </c>
      <c r="E47" s="4" t="s">
        <v>28</v>
      </c>
      <c r="F47" s="16">
        <v>0.98333333333333328</v>
      </c>
      <c r="G47" s="5">
        <v>4.42</v>
      </c>
      <c r="H47" s="17">
        <v>2.78</v>
      </c>
      <c r="I47" s="17">
        <v>40.520000000000003</v>
      </c>
      <c r="J47" s="17">
        <v>17.7</v>
      </c>
      <c r="K47" s="17">
        <v>93.19</v>
      </c>
      <c r="L47" s="5">
        <v>4</v>
      </c>
      <c r="M47" s="4">
        <v>30</v>
      </c>
      <c r="N47" s="4">
        <v>5</v>
      </c>
      <c r="O47" s="4">
        <v>0.3</v>
      </c>
    </row>
    <row r="48" spans="1:15" x14ac:dyDescent="0.35">
      <c r="A48" s="6">
        <v>3</v>
      </c>
      <c r="B48" s="6">
        <v>4</v>
      </c>
      <c r="C48" s="6" t="s">
        <v>25</v>
      </c>
      <c r="D48" s="7" t="s">
        <v>21</v>
      </c>
      <c r="E48" s="7" t="s">
        <v>28</v>
      </c>
      <c r="F48" s="18">
        <v>0.99513888888888891</v>
      </c>
      <c r="G48" s="8">
        <v>3.27</v>
      </c>
      <c r="H48" s="17">
        <v>2.93</v>
      </c>
      <c r="I48" s="17">
        <v>34.29</v>
      </c>
      <c r="J48" s="17">
        <v>18.05</v>
      </c>
      <c r="K48" s="17">
        <v>92.98</v>
      </c>
      <c r="L48" s="8">
        <v>6</v>
      </c>
      <c r="M48" s="7">
        <v>30</v>
      </c>
      <c r="N48" s="7">
        <v>5</v>
      </c>
      <c r="O48" s="7">
        <v>0.3</v>
      </c>
    </row>
    <row r="49" spans="1:15" x14ac:dyDescent="0.35">
      <c r="A49" s="3">
        <v>3</v>
      </c>
      <c r="B49" s="3">
        <v>5</v>
      </c>
      <c r="C49" s="3" t="s">
        <v>26</v>
      </c>
      <c r="D49" s="4" t="s">
        <v>21</v>
      </c>
      <c r="E49" s="4" t="s">
        <v>28</v>
      </c>
      <c r="F49" s="16">
        <v>5.5555555555555558E-3</v>
      </c>
      <c r="G49" s="5">
        <v>4.12</v>
      </c>
      <c r="H49" s="17">
        <v>2.86</v>
      </c>
      <c r="I49" s="17">
        <v>37.590000000000003</v>
      </c>
      <c r="J49" s="17">
        <v>17.71</v>
      </c>
      <c r="K49" s="17">
        <v>93.39</v>
      </c>
      <c r="L49" s="5">
        <v>5</v>
      </c>
      <c r="M49" s="4">
        <v>30</v>
      </c>
      <c r="N49" s="4">
        <v>5</v>
      </c>
      <c r="O49" s="4">
        <v>0.3</v>
      </c>
    </row>
    <row r="50" spans="1:15" x14ac:dyDescent="0.35">
      <c r="A50" s="6">
        <v>1</v>
      </c>
      <c r="B50" s="6">
        <v>1</v>
      </c>
      <c r="C50" s="6" t="s">
        <v>20</v>
      </c>
      <c r="D50" s="7" t="s">
        <v>21</v>
      </c>
      <c r="E50" s="7" t="s">
        <v>29</v>
      </c>
      <c r="F50" s="18">
        <v>0.86875000000000002</v>
      </c>
      <c r="G50" s="8">
        <v>168</v>
      </c>
      <c r="H50" s="17">
        <v>2.41</v>
      </c>
      <c r="I50" s="17">
        <v>40.64</v>
      </c>
      <c r="J50" s="17">
        <v>18.53</v>
      </c>
      <c r="K50" s="17">
        <v>93.16</v>
      </c>
      <c r="L50" s="8">
        <v>4</v>
      </c>
      <c r="M50" s="7">
        <v>80</v>
      </c>
      <c r="N50" s="7">
        <v>17</v>
      </c>
      <c r="O50" s="7">
        <v>2</v>
      </c>
    </row>
    <row r="51" spans="1:15" x14ac:dyDescent="0.35">
      <c r="A51" s="3">
        <v>1</v>
      </c>
      <c r="B51" s="3">
        <v>2</v>
      </c>
      <c r="C51" s="3" t="s">
        <v>23</v>
      </c>
      <c r="D51" s="4" t="s">
        <v>21</v>
      </c>
      <c r="E51" s="4" t="s">
        <v>29</v>
      </c>
      <c r="F51" s="16">
        <v>0.38263888888888886</v>
      </c>
      <c r="G51" s="5">
        <v>16.16</v>
      </c>
      <c r="H51" s="17">
        <v>2.0699999999999998</v>
      </c>
      <c r="I51" s="17">
        <v>59.49</v>
      </c>
      <c r="J51" s="17">
        <v>17.739999999999998</v>
      </c>
      <c r="K51" s="17">
        <v>94.79</v>
      </c>
      <c r="L51" s="5">
        <v>4</v>
      </c>
      <c r="M51" s="4">
        <v>80</v>
      </c>
      <c r="N51" s="4">
        <v>17</v>
      </c>
      <c r="O51" s="4">
        <v>2</v>
      </c>
    </row>
    <row r="52" spans="1:15" x14ac:dyDescent="0.35">
      <c r="A52" s="6">
        <v>1</v>
      </c>
      <c r="B52" s="6">
        <v>3</v>
      </c>
      <c r="C52" s="6" t="s">
        <v>24</v>
      </c>
      <c r="D52" s="7" t="s">
        <v>21</v>
      </c>
      <c r="E52" s="7" t="s">
        <v>29</v>
      </c>
      <c r="F52" s="18">
        <v>0.39652777777777776</v>
      </c>
      <c r="G52" s="8">
        <v>6.26</v>
      </c>
      <c r="H52" s="17">
        <v>2.2000000000000002</v>
      </c>
      <c r="I52" s="17">
        <v>42.63</v>
      </c>
      <c r="J52" s="17">
        <v>17.329999999999998</v>
      </c>
      <c r="K52" s="17">
        <v>93.45</v>
      </c>
      <c r="L52" s="8">
        <v>2</v>
      </c>
      <c r="M52" s="7">
        <v>80</v>
      </c>
      <c r="N52" s="7">
        <v>17</v>
      </c>
      <c r="O52" s="7">
        <v>2</v>
      </c>
    </row>
    <row r="53" spans="1:15" x14ac:dyDescent="0.35">
      <c r="A53" s="3">
        <v>1</v>
      </c>
      <c r="B53" s="3">
        <v>4</v>
      </c>
      <c r="C53" s="3" t="s">
        <v>25</v>
      </c>
      <c r="D53" s="4" t="s">
        <v>21</v>
      </c>
      <c r="E53" s="4" t="s">
        <v>29</v>
      </c>
      <c r="F53" s="16">
        <v>0.40833333333333333</v>
      </c>
      <c r="G53" s="5">
        <v>5.5</v>
      </c>
      <c r="H53" s="17">
        <v>2.44</v>
      </c>
      <c r="I53" s="17">
        <v>32.25</v>
      </c>
      <c r="J53" s="17">
        <v>17.82</v>
      </c>
      <c r="K53" s="17">
        <v>91.93</v>
      </c>
      <c r="L53" s="5">
        <v>3</v>
      </c>
      <c r="M53" s="4">
        <v>80</v>
      </c>
      <c r="N53" s="4">
        <v>17</v>
      </c>
      <c r="O53" s="4">
        <v>2</v>
      </c>
    </row>
    <row r="54" spans="1:15" x14ac:dyDescent="0.35">
      <c r="A54" s="6">
        <v>1</v>
      </c>
      <c r="B54" s="6">
        <v>5</v>
      </c>
      <c r="C54" s="6" t="s">
        <v>26</v>
      </c>
      <c r="D54" s="7" t="s">
        <v>21</v>
      </c>
      <c r="E54" s="7" t="s">
        <v>29</v>
      </c>
      <c r="F54" s="18">
        <v>0.43402777777777779</v>
      </c>
      <c r="G54" s="8">
        <v>6.57</v>
      </c>
      <c r="H54" s="17">
        <v>2.17</v>
      </c>
      <c r="I54" s="17">
        <v>44.63</v>
      </c>
      <c r="J54" s="17">
        <v>17.47</v>
      </c>
      <c r="K54" s="17">
        <v>92.97</v>
      </c>
      <c r="L54" s="8">
        <v>4</v>
      </c>
      <c r="M54" s="7">
        <v>80</v>
      </c>
      <c r="N54" s="7">
        <v>17</v>
      </c>
      <c r="O54" s="7">
        <v>2</v>
      </c>
    </row>
    <row r="55" spans="1:15" x14ac:dyDescent="0.35">
      <c r="A55" s="3">
        <v>2</v>
      </c>
      <c r="B55" s="3">
        <v>1</v>
      </c>
      <c r="C55" s="3" t="s">
        <v>20</v>
      </c>
      <c r="D55" s="4" t="s">
        <v>21</v>
      </c>
      <c r="E55" s="4" t="s">
        <v>29</v>
      </c>
      <c r="F55" s="16">
        <v>0.4513888888888889</v>
      </c>
      <c r="G55" s="5">
        <v>201.35</v>
      </c>
      <c r="H55" s="17">
        <v>2.1800000000000002</v>
      </c>
      <c r="I55" s="17">
        <v>27.94</v>
      </c>
      <c r="J55" s="17">
        <v>18.02</v>
      </c>
      <c r="K55" s="17">
        <v>93.14</v>
      </c>
      <c r="L55" s="5">
        <v>5</v>
      </c>
      <c r="M55" s="4">
        <v>80</v>
      </c>
      <c r="N55" s="4">
        <v>17</v>
      </c>
      <c r="O55" s="4">
        <v>2</v>
      </c>
    </row>
    <row r="56" spans="1:15" x14ac:dyDescent="0.35">
      <c r="A56" s="6">
        <v>2</v>
      </c>
      <c r="B56" s="6">
        <v>2</v>
      </c>
      <c r="C56" s="6" t="s">
        <v>23</v>
      </c>
      <c r="D56" s="7" t="s">
        <v>21</v>
      </c>
      <c r="E56" s="7" t="s">
        <v>29</v>
      </c>
      <c r="F56" s="18">
        <v>0.80069444444444449</v>
      </c>
      <c r="G56" s="8">
        <v>11.29</v>
      </c>
      <c r="H56" s="17">
        <v>2.81</v>
      </c>
      <c r="I56" s="17">
        <v>39.619999999999997</v>
      </c>
      <c r="J56" s="17">
        <v>17.91</v>
      </c>
      <c r="K56" s="17">
        <v>92.94</v>
      </c>
      <c r="L56" s="8">
        <v>5</v>
      </c>
      <c r="M56" s="7">
        <v>80</v>
      </c>
      <c r="N56" s="7">
        <v>17</v>
      </c>
      <c r="O56" s="7">
        <v>2</v>
      </c>
    </row>
    <row r="57" spans="1:15" x14ac:dyDescent="0.35">
      <c r="A57" s="3">
        <v>2</v>
      </c>
      <c r="B57" s="3">
        <v>3</v>
      </c>
      <c r="C57" s="3" t="s">
        <v>24</v>
      </c>
      <c r="D57" s="4" t="s">
        <v>21</v>
      </c>
      <c r="E57" s="4" t="s">
        <v>29</v>
      </c>
      <c r="F57" s="16">
        <v>0.81805555555555554</v>
      </c>
      <c r="G57" s="5">
        <v>5.58</v>
      </c>
      <c r="H57" s="17">
        <v>1.95</v>
      </c>
      <c r="I57" s="17">
        <v>43.99</v>
      </c>
      <c r="J57" s="17">
        <v>17.920000000000002</v>
      </c>
      <c r="K57" s="17">
        <v>92.74</v>
      </c>
      <c r="L57" s="5">
        <v>2</v>
      </c>
      <c r="M57" s="4">
        <v>80</v>
      </c>
      <c r="N57" s="4">
        <v>17</v>
      </c>
      <c r="O57" s="4">
        <v>2</v>
      </c>
    </row>
    <row r="58" spans="1:15" x14ac:dyDescent="0.35">
      <c r="A58" s="6">
        <v>2</v>
      </c>
      <c r="B58" s="6">
        <v>4</v>
      </c>
      <c r="C58" s="6" t="s">
        <v>25</v>
      </c>
      <c r="D58" s="7" t="s">
        <v>21</v>
      </c>
      <c r="E58" s="7" t="s">
        <v>29</v>
      </c>
      <c r="F58" s="18">
        <v>0.8305555555555556</v>
      </c>
      <c r="G58" s="8">
        <v>4.59</v>
      </c>
      <c r="H58" s="17">
        <v>3.23</v>
      </c>
      <c r="I58" s="17">
        <v>33.61</v>
      </c>
      <c r="J58" s="17">
        <v>18.350000000000001</v>
      </c>
      <c r="K58" s="17">
        <v>93.23</v>
      </c>
      <c r="L58" s="8">
        <v>3</v>
      </c>
      <c r="M58" s="7">
        <v>80</v>
      </c>
      <c r="N58" s="7">
        <v>17</v>
      </c>
      <c r="O58" s="7">
        <v>2</v>
      </c>
    </row>
    <row r="59" spans="1:15" x14ac:dyDescent="0.35">
      <c r="A59" s="3">
        <v>2</v>
      </c>
      <c r="B59" s="3">
        <v>5</v>
      </c>
      <c r="C59" s="3" t="s">
        <v>26</v>
      </c>
      <c r="D59" s="4" t="s">
        <v>21</v>
      </c>
      <c r="E59" s="4" t="s">
        <v>29</v>
      </c>
      <c r="F59" s="16">
        <v>0.84027777777777779</v>
      </c>
      <c r="G59" s="5">
        <v>4.3600000000000003</v>
      </c>
      <c r="H59" s="17">
        <v>2.4500000000000002</v>
      </c>
      <c r="I59" s="17">
        <v>40.950000000000003</v>
      </c>
      <c r="J59" s="17">
        <v>18.510000000000002</v>
      </c>
      <c r="K59" s="17">
        <v>93.45</v>
      </c>
      <c r="L59" s="5">
        <v>5</v>
      </c>
      <c r="M59" s="4">
        <v>80</v>
      </c>
      <c r="N59" s="4">
        <v>17</v>
      </c>
      <c r="O59" s="4">
        <v>2</v>
      </c>
    </row>
    <row r="60" spans="1:15" x14ac:dyDescent="0.35">
      <c r="A60" s="6">
        <v>3</v>
      </c>
      <c r="B60" s="6">
        <v>1</v>
      </c>
      <c r="C60" s="6" t="s">
        <v>20</v>
      </c>
      <c r="D60" s="7" t="s">
        <v>21</v>
      </c>
      <c r="E60" s="7" t="s">
        <v>29</v>
      </c>
      <c r="F60" s="18">
        <v>0.85833333333333328</v>
      </c>
      <c r="G60" s="8">
        <v>202.03</v>
      </c>
      <c r="H60" s="17">
        <v>2.41</v>
      </c>
      <c r="I60" s="17">
        <v>28.72</v>
      </c>
      <c r="J60" s="17">
        <v>18.489999999999998</v>
      </c>
      <c r="K60" s="17">
        <v>93.12</v>
      </c>
      <c r="L60" s="8">
        <v>5</v>
      </c>
      <c r="M60" s="7">
        <v>80</v>
      </c>
      <c r="N60" s="7">
        <v>17</v>
      </c>
      <c r="O60" s="7">
        <v>2</v>
      </c>
    </row>
    <row r="61" spans="1:15" x14ac:dyDescent="0.35">
      <c r="A61" s="3">
        <v>3</v>
      </c>
      <c r="B61" s="3">
        <v>2</v>
      </c>
      <c r="C61" s="3" t="s">
        <v>23</v>
      </c>
      <c r="D61" s="4" t="s">
        <v>21</v>
      </c>
      <c r="E61" s="4" t="s">
        <v>29</v>
      </c>
      <c r="F61" s="16">
        <v>0.37152777777777779</v>
      </c>
      <c r="G61" s="5">
        <v>9.3800000000000008</v>
      </c>
      <c r="H61" s="17">
        <v>4.07</v>
      </c>
      <c r="I61" s="17">
        <v>39.99</v>
      </c>
      <c r="J61" s="17">
        <v>18.97</v>
      </c>
      <c r="K61" s="17">
        <v>93.55</v>
      </c>
      <c r="L61" s="5">
        <v>5</v>
      </c>
      <c r="M61" s="4">
        <v>80</v>
      </c>
      <c r="N61" s="4">
        <v>17</v>
      </c>
      <c r="O61" s="4">
        <v>2</v>
      </c>
    </row>
    <row r="62" spans="1:15" x14ac:dyDescent="0.35">
      <c r="A62" s="6">
        <v>3</v>
      </c>
      <c r="B62" s="6">
        <v>3</v>
      </c>
      <c r="C62" s="6" t="s">
        <v>24</v>
      </c>
      <c r="D62" s="7" t="s">
        <v>21</v>
      </c>
      <c r="E62" s="7" t="s">
        <v>29</v>
      </c>
      <c r="F62" s="18">
        <v>0.38750000000000001</v>
      </c>
      <c r="G62" s="8">
        <v>4.34</v>
      </c>
      <c r="H62" s="17">
        <v>2.2400000000000002</v>
      </c>
      <c r="I62" s="17">
        <v>32.44</v>
      </c>
      <c r="J62" s="17">
        <v>17.899999999999999</v>
      </c>
      <c r="K62" s="17">
        <v>93.44</v>
      </c>
      <c r="L62" s="8">
        <v>4</v>
      </c>
      <c r="M62" s="7">
        <v>80</v>
      </c>
      <c r="N62" s="7">
        <v>17</v>
      </c>
      <c r="O62" s="7">
        <v>2</v>
      </c>
    </row>
    <row r="63" spans="1:15" x14ac:dyDescent="0.35">
      <c r="A63" s="3">
        <v>3</v>
      </c>
      <c r="B63" s="3">
        <v>4</v>
      </c>
      <c r="C63" s="3" t="s">
        <v>25</v>
      </c>
      <c r="D63" s="4" t="s">
        <v>21</v>
      </c>
      <c r="E63" s="4" t="s">
        <v>29</v>
      </c>
      <c r="F63" s="16">
        <v>0.55347222222222225</v>
      </c>
      <c r="G63" s="5">
        <v>8.5299999999999994</v>
      </c>
      <c r="H63" s="17">
        <v>2.8</v>
      </c>
      <c r="I63" s="17">
        <v>36.44</v>
      </c>
      <c r="J63" s="17">
        <v>18.079999999999998</v>
      </c>
      <c r="K63" s="17">
        <v>93.16</v>
      </c>
      <c r="L63" s="5">
        <v>5</v>
      </c>
      <c r="M63" s="4">
        <v>80</v>
      </c>
      <c r="N63" s="4">
        <v>17</v>
      </c>
      <c r="O63" s="4">
        <v>2</v>
      </c>
    </row>
    <row r="64" spans="1:15" x14ac:dyDescent="0.35">
      <c r="A64" s="6">
        <v>3</v>
      </c>
      <c r="B64" s="6">
        <v>5</v>
      </c>
      <c r="C64" s="6" t="s">
        <v>26</v>
      </c>
      <c r="D64" s="7" t="s">
        <v>21</v>
      </c>
      <c r="E64" s="7" t="s">
        <v>29</v>
      </c>
      <c r="F64" s="18">
        <v>0.56666666666666665</v>
      </c>
      <c r="G64" s="8">
        <v>5.12</v>
      </c>
      <c r="H64" s="17">
        <v>2.52</v>
      </c>
      <c r="I64" s="17">
        <v>41.23</v>
      </c>
      <c r="J64" s="17">
        <v>17.87</v>
      </c>
      <c r="K64" s="17">
        <v>93.13</v>
      </c>
      <c r="L64" s="8">
        <v>4</v>
      </c>
      <c r="M64" s="7">
        <v>80</v>
      </c>
      <c r="N64" s="7">
        <v>17</v>
      </c>
      <c r="O64" s="7">
        <v>2</v>
      </c>
    </row>
    <row r="65" spans="1:15" x14ac:dyDescent="0.35">
      <c r="A65" s="3">
        <v>1</v>
      </c>
      <c r="B65" s="3">
        <v>1</v>
      </c>
      <c r="C65" s="3" t="s">
        <v>20</v>
      </c>
      <c r="D65" s="4" t="s">
        <v>30</v>
      </c>
      <c r="E65" s="4" t="s">
        <v>22</v>
      </c>
      <c r="F65" s="16">
        <v>0.68263888888888891</v>
      </c>
      <c r="G65" s="5">
        <v>19.21</v>
      </c>
      <c r="H65" s="5">
        <v>6.93</v>
      </c>
      <c r="I65" s="5">
        <v>45.53</v>
      </c>
      <c r="J65" s="5">
        <v>18.05</v>
      </c>
      <c r="K65" s="5">
        <v>94.14</v>
      </c>
      <c r="L65" s="5">
        <v>30</v>
      </c>
      <c r="M65" s="4">
        <v>5</v>
      </c>
      <c r="N65" s="4">
        <v>2</v>
      </c>
      <c r="O65" s="4">
        <v>0.1</v>
      </c>
    </row>
    <row r="66" spans="1:15" x14ac:dyDescent="0.35">
      <c r="A66" s="6">
        <v>1</v>
      </c>
      <c r="B66" s="6">
        <v>2</v>
      </c>
      <c r="C66" s="6" t="s">
        <v>23</v>
      </c>
      <c r="D66" s="7" t="s">
        <v>30</v>
      </c>
      <c r="E66" s="7" t="s">
        <v>22</v>
      </c>
      <c r="F66" s="18">
        <v>0.6958333333333333</v>
      </c>
      <c r="G66" s="8">
        <v>3.2</v>
      </c>
      <c r="H66" s="8">
        <v>2.4700000000000002</v>
      </c>
      <c r="I66" s="8">
        <v>39.950000000000003</v>
      </c>
      <c r="J66" s="8">
        <v>17.850000000000001</v>
      </c>
      <c r="K66" s="8">
        <v>93.82</v>
      </c>
      <c r="L66" s="8">
        <v>1</v>
      </c>
      <c r="M66" s="7">
        <v>5</v>
      </c>
      <c r="N66" s="7">
        <v>2</v>
      </c>
      <c r="O66" s="7">
        <v>0.1</v>
      </c>
    </row>
    <row r="67" spans="1:15" x14ac:dyDescent="0.35">
      <c r="A67" s="3">
        <v>1</v>
      </c>
      <c r="B67" s="3">
        <v>3</v>
      </c>
      <c r="C67" s="3" t="s">
        <v>24</v>
      </c>
      <c r="D67" s="4" t="s">
        <v>30</v>
      </c>
      <c r="E67" s="4" t="s">
        <v>22</v>
      </c>
      <c r="F67" s="16">
        <v>0.69791666666666663</v>
      </c>
      <c r="G67" s="5">
        <v>3.3</v>
      </c>
      <c r="H67" s="5">
        <v>2.29</v>
      </c>
      <c r="I67" s="5">
        <v>42.77</v>
      </c>
      <c r="J67" s="5">
        <v>17.88</v>
      </c>
      <c r="K67" s="5">
        <v>93.5</v>
      </c>
      <c r="L67" s="5">
        <v>0.24</v>
      </c>
      <c r="M67" s="4">
        <v>5</v>
      </c>
      <c r="N67" s="4">
        <v>2</v>
      </c>
      <c r="O67" s="4">
        <v>0.1</v>
      </c>
    </row>
    <row r="68" spans="1:15" x14ac:dyDescent="0.35">
      <c r="A68" s="6">
        <v>1</v>
      </c>
      <c r="B68" s="6">
        <v>4</v>
      </c>
      <c r="C68" s="6" t="s">
        <v>25</v>
      </c>
      <c r="D68" s="7" t="s">
        <v>30</v>
      </c>
      <c r="E68" s="7" t="s">
        <v>22</v>
      </c>
      <c r="F68" s="18">
        <v>0.7006944444444444</v>
      </c>
      <c r="G68" s="8">
        <v>3.11</v>
      </c>
      <c r="H68" s="8">
        <v>1.89</v>
      </c>
      <c r="I68" s="8">
        <v>43.88</v>
      </c>
      <c r="J68" s="8">
        <v>17.91</v>
      </c>
      <c r="K68" s="8">
        <v>93.46</v>
      </c>
      <c r="L68" s="8">
        <v>0.25</v>
      </c>
      <c r="M68" s="7">
        <v>5</v>
      </c>
      <c r="N68" s="7">
        <v>2</v>
      </c>
      <c r="O68" s="7">
        <v>0.1</v>
      </c>
    </row>
    <row r="69" spans="1:15" x14ac:dyDescent="0.35">
      <c r="A69" s="3">
        <v>1</v>
      </c>
      <c r="B69" s="3">
        <v>5</v>
      </c>
      <c r="C69" s="3" t="s">
        <v>26</v>
      </c>
      <c r="D69" s="4" t="s">
        <v>30</v>
      </c>
      <c r="E69" s="4" t="s">
        <v>22</v>
      </c>
      <c r="F69" s="16">
        <v>0.70347222222222228</v>
      </c>
      <c r="G69" s="5">
        <v>3.27</v>
      </c>
      <c r="H69" s="5">
        <v>2.78</v>
      </c>
      <c r="I69" s="5">
        <v>57.7</v>
      </c>
      <c r="J69" s="5">
        <v>18.010000000000002</v>
      </c>
      <c r="K69" s="5">
        <v>94.05</v>
      </c>
      <c r="L69" s="5">
        <v>0.28000000000000003</v>
      </c>
      <c r="M69" s="4">
        <v>5</v>
      </c>
      <c r="N69" s="4">
        <v>2</v>
      </c>
      <c r="O69" s="4">
        <v>0.1</v>
      </c>
    </row>
    <row r="70" spans="1:15" x14ac:dyDescent="0.35">
      <c r="A70" s="6">
        <v>2</v>
      </c>
      <c r="B70" s="6">
        <v>1</v>
      </c>
      <c r="C70" s="6" t="s">
        <v>20</v>
      </c>
      <c r="D70" s="7" t="s">
        <v>30</v>
      </c>
      <c r="E70" s="7" t="s">
        <v>22</v>
      </c>
      <c r="F70" s="8">
        <v>17.38</v>
      </c>
      <c r="G70" s="8">
        <v>22.07</v>
      </c>
      <c r="H70" s="8">
        <v>7.49</v>
      </c>
      <c r="I70" s="8">
        <v>42.16</v>
      </c>
      <c r="J70" s="8">
        <v>18.11</v>
      </c>
      <c r="K70" s="8">
        <v>93.96</v>
      </c>
      <c r="L70" s="8">
        <v>26.4</v>
      </c>
      <c r="M70" s="7">
        <v>5</v>
      </c>
      <c r="N70" s="7">
        <v>2</v>
      </c>
      <c r="O70" s="7">
        <v>0.1</v>
      </c>
    </row>
    <row r="71" spans="1:15" x14ac:dyDescent="0.35">
      <c r="A71" s="3">
        <v>2</v>
      </c>
      <c r="B71" s="3">
        <v>2</v>
      </c>
      <c r="C71" s="3" t="s">
        <v>23</v>
      </c>
      <c r="D71" s="4" t="s">
        <v>30</v>
      </c>
      <c r="E71" s="4" t="s">
        <v>22</v>
      </c>
      <c r="F71" s="16">
        <v>0.75</v>
      </c>
      <c r="G71" s="5">
        <v>3.25</v>
      </c>
      <c r="H71" s="5">
        <v>3.75</v>
      </c>
      <c r="I71" s="5">
        <v>46.71</v>
      </c>
      <c r="J71" s="5">
        <v>19.13</v>
      </c>
      <c r="K71" s="5">
        <v>93.43</v>
      </c>
      <c r="L71" s="5">
        <v>0.8</v>
      </c>
      <c r="M71" s="4">
        <v>5</v>
      </c>
      <c r="N71" s="4">
        <v>2</v>
      </c>
      <c r="O71" s="4">
        <v>0.1</v>
      </c>
    </row>
    <row r="72" spans="1:15" x14ac:dyDescent="0.35">
      <c r="A72" s="6">
        <v>2</v>
      </c>
      <c r="B72" s="6">
        <v>3</v>
      </c>
      <c r="C72" s="6" t="s">
        <v>24</v>
      </c>
      <c r="D72" s="7" t="s">
        <v>30</v>
      </c>
      <c r="E72" s="7" t="s">
        <v>22</v>
      </c>
      <c r="F72" s="18">
        <v>0.75208333333333333</v>
      </c>
      <c r="G72" s="8">
        <v>3.07</v>
      </c>
      <c r="H72" s="8">
        <v>2.41</v>
      </c>
      <c r="I72" s="8">
        <v>45.6</v>
      </c>
      <c r="J72" s="8">
        <v>18.87</v>
      </c>
      <c r="K72" s="8">
        <v>93.84</v>
      </c>
      <c r="L72" s="8">
        <v>0.23</v>
      </c>
      <c r="M72" s="7">
        <v>5</v>
      </c>
      <c r="N72" s="7">
        <v>2</v>
      </c>
      <c r="O72" s="7">
        <v>0.1</v>
      </c>
    </row>
    <row r="73" spans="1:15" x14ac:dyDescent="0.35">
      <c r="A73" s="3">
        <v>2</v>
      </c>
      <c r="B73" s="3">
        <v>4</v>
      </c>
      <c r="C73" s="3" t="s">
        <v>25</v>
      </c>
      <c r="D73" s="4" t="s">
        <v>30</v>
      </c>
      <c r="E73" s="4" t="s">
        <v>22</v>
      </c>
      <c r="F73" s="16">
        <v>0.75486111111111109</v>
      </c>
      <c r="G73" s="5">
        <v>3.17</v>
      </c>
      <c r="H73" s="5">
        <v>2.44</v>
      </c>
      <c r="I73" s="5">
        <v>40.950000000000003</v>
      </c>
      <c r="J73" s="5">
        <v>18.760000000000002</v>
      </c>
      <c r="K73" s="5">
        <v>93.52</v>
      </c>
      <c r="L73" s="5">
        <v>0.3</v>
      </c>
      <c r="M73" s="4">
        <v>5</v>
      </c>
      <c r="N73" s="4">
        <v>2</v>
      </c>
      <c r="O73" s="4">
        <v>0.1</v>
      </c>
    </row>
    <row r="74" spans="1:15" x14ac:dyDescent="0.35">
      <c r="A74" s="6">
        <v>2</v>
      </c>
      <c r="B74" s="6">
        <v>5</v>
      </c>
      <c r="C74" s="6" t="s">
        <v>26</v>
      </c>
      <c r="D74" s="7" t="s">
        <v>30</v>
      </c>
      <c r="E74" s="7" t="s">
        <v>22</v>
      </c>
      <c r="F74" s="18">
        <v>0.75694444444444442</v>
      </c>
      <c r="G74" s="8">
        <v>3.18</v>
      </c>
      <c r="H74" s="8">
        <v>2.19</v>
      </c>
      <c r="I74" s="8">
        <v>45.77</v>
      </c>
      <c r="J74" s="8">
        <v>18.690000000000001</v>
      </c>
      <c r="K74" s="8">
        <v>93.84</v>
      </c>
      <c r="L74" s="8">
        <v>0.3</v>
      </c>
      <c r="M74" s="7">
        <v>5</v>
      </c>
      <c r="N74" s="7">
        <v>2</v>
      </c>
      <c r="O74" s="7">
        <v>0.1</v>
      </c>
    </row>
    <row r="75" spans="1:15" x14ac:dyDescent="0.35">
      <c r="A75" s="3">
        <v>3</v>
      </c>
      <c r="B75" s="3">
        <v>1</v>
      </c>
      <c r="C75" s="3" t="s">
        <v>20</v>
      </c>
      <c r="D75" s="4" t="s">
        <v>30</v>
      </c>
      <c r="E75" s="4" t="s">
        <v>22</v>
      </c>
      <c r="F75" s="16">
        <v>0.78263888888888888</v>
      </c>
      <c r="G75" s="5">
        <v>18.43</v>
      </c>
      <c r="H75" s="5">
        <v>20.52</v>
      </c>
      <c r="I75" s="5">
        <v>54.97</v>
      </c>
      <c r="J75" s="5">
        <v>19.329999999999998</v>
      </c>
      <c r="K75" s="5">
        <v>94.33</v>
      </c>
      <c r="L75" s="5">
        <v>31.3</v>
      </c>
      <c r="M75" s="4">
        <v>5</v>
      </c>
      <c r="N75" s="4">
        <v>2</v>
      </c>
      <c r="O75" s="4">
        <v>0.1</v>
      </c>
    </row>
    <row r="76" spans="1:15" x14ac:dyDescent="0.35">
      <c r="A76" s="6">
        <v>3</v>
      </c>
      <c r="B76" s="6">
        <v>2</v>
      </c>
      <c r="C76" s="6" t="s">
        <v>23</v>
      </c>
      <c r="D76" s="7" t="s">
        <v>30</v>
      </c>
      <c r="E76" s="7" t="s">
        <v>22</v>
      </c>
      <c r="F76" s="18">
        <v>0.79583333333333328</v>
      </c>
      <c r="G76" s="8">
        <v>3.5</v>
      </c>
      <c r="H76" s="8">
        <v>11.5</v>
      </c>
      <c r="I76" s="8">
        <v>38.229999999999997</v>
      </c>
      <c r="J76" s="8">
        <v>18.96</v>
      </c>
      <c r="K76" s="8">
        <v>93.69</v>
      </c>
      <c r="L76" s="8">
        <v>0.8</v>
      </c>
      <c r="M76" s="7">
        <v>5</v>
      </c>
      <c r="N76" s="7">
        <v>2</v>
      </c>
      <c r="O76" s="7">
        <v>0.1</v>
      </c>
    </row>
    <row r="77" spans="1:15" x14ac:dyDescent="0.35">
      <c r="A77" s="3">
        <v>3</v>
      </c>
      <c r="B77" s="3">
        <v>3</v>
      </c>
      <c r="C77" s="3" t="s">
        <v>24</v>
      </c>
      <c r="D77" s="4" t="s">
        <v>30</v>
      </c>
      <c r="E77" s="4" t="s">
        <v>22</v>
      </c>
      <c r="F77" s="16">
        <v>0.79861111111111116</v>
      </c>
      <c r="G77" s="5">
        <v>3.12</v>
      </c>
      <c r="H77" s="5">
        <v>2.3199999999999998</v>
      </c>
      <c r="I77" s="5">
        <v>43.74</v>
      </c>
      <c r="J77" s="5">
        <v>18.670000000000002</v>
      </c>
      <c r="K77" s="5">
        <v>93.75</v>
      </c>
      <c r="L77" s="5">
        <v>0.3</v>
      </c>
      <c r="M77" s="4">
        <v>5</v>
      </c>
      <c r="N77" s="4">
        <v>2</v>
      </c>
      <c r="O77" s="4">
        <v>0.1</v>
      </c>
    </row>
    <row r="78" spans="1:15" x14ac:dyDescent="0.35">
      <c r="A78" s="6">
        <v>3</v>
      </c>
      <c r="B78" s="6">
        <v>4</v>
      </c>
      <c r="C78" s="6" t="s">
        <v>25</v>
      </c>
      <c r="D78" s="7" t="s">
        <v>30</v>
      </c>
      <c r="E78" s="7" t="s">
        <v>22</v>
      </c>
      <c r="F78" s="18">
        <v>0.80069444444444449</v>
      </c>
      <c r="G78" s="8">
        <v>3.13</v>
      </c>
      <c r="H78" s="8">
        <v>2.2200000000000002</v>
      </c>
      <c r="I78" s="8">
        <v>44.32</v>
      </c>
      <c r="J78" s="8">
        <v>18.899999999999999</v>
      </c>
      <c r="K78" s="8">
        <v>93.69</v>
      </c>
      <c r="L78" s="8">
        <v>0.2</v>
      </c>
      <c r="M78" s="7">
        <v>5</v>
      </c>
      <c r="N78" s="7">
        <v>2</v>
      </c>
      <c r="O78" s="7">
        <v>0.1</v>
      </c>
    </row>
    <row r="79" spans="1:15" x14ac:dyDescent="0.35">
      <c r="A79" s="3">
        <v>3</v>
      </c>
      <c r="B79" s="3">
        <v>5</v>
      </c>
      <c r="C79" s="3" t="s">
        <v>26</v>
      </c>
      <c r="D79" s="4" t="s">
        <v>30</v>
      </c>
      <c r="E79" s="4" t="s">
        <v>22</v>
      </c>
      <c r="F79" s="16">
        <v>0.80347222222222225</v>
      </c>
      <c r="G79" s="5">
        <v>3.27</v>
      </c>
      <c r="H79" s="5">
        <v>2.4900000000000002</v>
      </c>
      <c r="I79" s="5">
        <v>35.36</v>
      </c>
      <c r="J79" s="5">
        <v>18.63</v>
      </c>
      <c r="K79" s="5">
        <v>94.28</v>
      </c>
      <c r="L79" s="5">
        <v>0.2</v>
      </c>
      <c r="M79" s="4">
        <v>5</v>
      </c>
      <c r="N79" s="4">
        <v>2</v>
      </c>
      <c r="O79" s="4">
        <v>0.1</v>
      </c>
    </row>
    <row r="80" spans="1:15" x14ac:dyDescent="0.35">
      <c r="A80" s="6">
        <v>1</v>
      </c>
      <c r="B80" s="6">
        <v>1</v>
      </c>
      <c r="C80" s="6" t="s">
        <v>20</v>
      </c>
      <c r="D80" s="7" t="s">
        <v>30</v>
      </c>
      <c r="E80" s="7" t="s">
        <v>27</v>
      </c>
      <c r="F80" s="18">
        <v>0.89444444444444449</v>
      </c>
      <c r="G80" s="8">
        <v>67.290000000000006</v>
      </c>
      <c r="H80" s="8">
        <v>3.52</v>
      </c>
      <c r="I80" s="8">
        <v>29.33</v>
      </c>
      <c r="J80" s="8">
        <v>18.91</v>
      </c>
      <c r="K80" s="8">
        <v>92.91</v>
      </c>
      <c r="L80" s="8">
        <v>9</v>
      </c>
      <c r="M80" s="7">
        <v>20</v>
      </c>
      <c r="N80" s="7">
        <v>7</v>
      </c>
      <c r="O80" s="7">
        <v>0.7</v>
      </c>
    </row>
    <row r="81" spans="1:15" x14ac:dyDescent="0.35">
      <c r="A81" s="3">
        <v>1</v>
      </c>
      <c r="B81" s="3">
        <v>2</v>
      </c>
      <c r="C81" s="3" t="s">
        <v>23</v>
      </c>
      <c r="D81" s="4" t="s">
        <v>30</v>
      </c>
      <c r="E81" s="4" t="s">
        <v>27</v>
      </c>
      <c r="F81" s="16">
        <v>0.94097222222222221</v>
      </c>
      <c r="G81" s="5">
        <v>3.51</v>
      </c>
      <c r="H81" s="5">
        <v>3.19</v>
      </c>
      <c r="I81" s="5">
        <v>35.82</v>
      </c>
      <c r="J81" s="5">
        <v>18.09</v>
      </c>
      <c r="K81" s="5">
        <v>93.58</v>
      </c>
      <c r="L81" s="5">
        <v>1.2</v>
      </c>
      <c r="M81" s="4">
        <v>20</v>
      </c>
      <c r="N81" s="4">
        <v>7</v>
      </c>
      <c r="O81" s="4">
        <v>0.7</v>
      </c>
    </row>
    <row r="82" spans="1:15" x14ac:dyDescent="0.35">
      <c r="A82" s="6">
        <v>1</v>
      </c>
      <c r="B82" s="6">
        <v>3</v>
      </c>
      <c r="C82" s="6" t="s">
        <v>24</v>
      </c>
      <c r="D82" s="7" t="s">
        <v>30</v>
      </c>
      <c r="E82" s="7" t="s">
        <v>27</v>
      </c>
      <c r="F82" s="18">
        <v>0.94444444444444442</v>
      </c>
      <c r="G82" s="8">
        <v>3.2</v>
      </c>
      <c r="H82" s="8">
        <v>2.86</v>
      </c>
      <c r="I82" s="8">
        <v>40.700000000000003</v>
      </c>
      <c r="J82" s="8">
        <v>17.8</v>
      </c>
      <c r="K82" s="8">
        <v>92.39</v>
      </c>
      <c r="L82" s="8">
        <v>0.3</v>
      </c>
      <c r="M82" s="7">
        <v>20</v>
      </c>
      <c r="N82" s="7">
        <v>7</v>
      </c>
      <c r="O82" s="7">
        <v>0.7</v>
      </c>
    </row>
    <row r="83" spans="1:15" x14ac:dyDescent="0.35">
      <c r="A83" s="3">
        <v>1</v>
      </c>
      <c r="B83" s="3">
        <v>4</v>
      </c>
      <c r="C83" s="3" t="s">
        <v>25</v>
      </c>
      <c r="D83" s="4" t="s">
        <v>30</v>
      </c>
      <c r="E83" s="4" t="s">
        <v>27</v>
      </c>
      <c r="F83" s="16">
        <v>0.94652777777777775</v>
      </c>
      <c r="G83" s="5">
        <v>3.1</v>
      </c>
      <c r="H83" s="5">
        <v>2.4</v>
      </c>
      <c r="I83" s="5">
        <v>40.44</v>
      </c>
      <c r="J83" s="5">
        <v>17.93</v>
      </c>
      <c r="K83" s="5">
        <v>92.62</v>
      </c>
      <c r="L83" s="5">
        <v>0.3</v>
      </c>
      <c r="M83" s="4">
        <v>20</v>
      </c>
      <c r="N83" s="4">
        <v>7</v>
      </c>
      <c r="O83" s="4">
        <v>0.7</v>
      </c>
    </row>
    <row r="84" spans="1:15" x14ac:dyDescent="0.35">
      <c r="A84" s="6">
        <v>1</v>
      </c>
      <c r="B84" s="6">
        <v>5</v>
      </c>
      <c r="C84" s="6" t="s">
        <v>26</v>
      </c>
      <c r="D84" s="7" t="s">
        <v>30</v>
      </c>
      <c r="E84" s="7" t="s">
        <v>27</v>
      </c>
      <c r="F84" s="18">
        <v>0.94930555555555551</v>
      </c>
      <c r="G84" s="8">
        <v>3.1</v>
      </c>
      <c r="H84" s="8">
        <v>2.77</v>
      </c>
      <c r="I84" s="8">
        <v>37.659999999999997</v>
      </c>
      <c r="J84" s="8">
        <v>17.91</v>
      </c>
      <c r="K84" s="8">
        <v>93.9</v>
      </c>
      <c r="L84" s="8">
        <v>0.3</v>
      </c>
      <c r="M84" s="7">
        <v>20</v>
      </c>
      <c r="N84" s="7">
        <v>7</v>
      </c>
      <c r="O84" s="7">
        <v>0.7</v>
      </c>
    </row>
    <row r="85" spans="1:15" x14ac:dyDescent="0.35">
      <c r="A85" s="3">
        <v>2</v>
      </c>
      <c r="B85" s="3">
        <v>1</v>
      </c>
      <c r="C85" s="3" t="s">
        <v>20</v>
      </c>
      <c r="D85" s="4" t="s">
        <v>30</v>
      </c>
      <c r="E85" s="4" t="s">
        <v>27</v>
      </c>
      <c r="F85" s="16">
        <v>0.79097222222222219</v>
      </c>
      <c r="G85" s="5">
        <v>60</v>
      </c>
      <c r="H85" s="5">
        <v>3.54</v>
      </c>
      <c r="I85" s="5">
        <v>38.6</v>
      </c>
      <c r="J85" s="5">
        <v>18.45</v>
      </c>
      <c r="K85" s="5">
        <v>92.9</v>
      </c>
      <c r="L85" s="5">
        <v>10.7</v>
      </c>
      <c r="M85" s="4">
        <v>20</v>
      </c>
      <c r="N85" s="4">
        <v>7</v>
      </c>
      <c r="O85" s="4">
        <v>0.7</v>
      </c>
    </row>
    <row r="86" spans="1:15" x14ac:dyDescent="0.35">
      <c r="A86" s="6">
        <v>2</v>
      </c>
      <c r="B86" s="6">
        <v>2</v>
      </c>
      <c r="C86" s="6" t="s">
        <v>23</v>
      </c>
      <c r="D86" s="7" t="s">
        <v>30</v>
      </c>
      <c r="E86" s="7" t="s">
        <v>27</v>
      </c>
      <c r="F86" s="18">
        <v>0.83263888888888893</v>
      </c>
      <c r="G86" s="8">
        <v>4.22</v>
      </c>
      <c r="H86" s="8">
        <v>3.62</v>
      </c>
      <c r="I86" s="8">
        <v>43.48</v>
      </c>
      <c r="J86" s="8">
        <v>18.329999999999998</v>
      </c>
      <c r="K86" s="8">
        <v>92.92</v>
      </c>
      <c r="L86" s="8">
        <v>1.9</v>
      </c>
      <c r="M86" s="7">
        <v>20</v>
      </c>
      <c r="N86" s="7">
        <v>7</v>
      </c>
      <c r="O86" s="7">
        <v>0.7</v>
      </c>
    </row>
    <row r="87" spans="1:15" x14ac:dyDescent="0.35">
      <c r="A87" s="3">
        <v>2</v>
      </c>
      <c r="B87" s="3">
        <v>3</v>
      </c>
      <c r="C87" s="3" t="s">
        <v>24</v>
      </c>
      <c r="D87" s="4" t="s">
        <v>30</v>
      </c>
      <c r="E87" s="4" t="s">
        <v>27</v>
      </c>
      <c r="F87" s="16">
        <v>0.83611111111111114</v>
      </c>
      <c r="G87" s="5">
        <v>3.25</v>
      </c>
      <c r="H87" s="5">
        <v>2.37</v>
      </c>
      <c r="I87" s="5">
        <v>43.1</v>
      </c>
      <c r="J87" s="5">
        <v>17.899999999999999</v>
      </c>
      <c r="K87" s="5">
        <v>93.39</v>
      </c>
      <c r="L87" s="5">
        <v>0.5</v>
      </c>
      <c r="M87" s="4">
        <v>20</v>
      </c>
      <c r="N87" s="4">
        <v>7</v>
      </c>
      <c r="O87" s="4">
        <v>0.7</v>
      </c>
    </row>
    <row r="88" spans="1:15" x14ac:dyDescent="0.35">
      <c r="A88" s="6">
        <v>2</v>
      </c>
      <c r="B88" s="6">
        <v>4</v>
      </c>
      <c r="C88" s="6" t="s">
        <v>25</v>
      </c>
      <c r="D88" s="7" t="s">
        <v>30</v>
      </c>
      <c r="E88" s="7" t="s">
        <v>27</v>
      </c>
      <c r="F88" s="18">
        <v>0.83819444444444446</v>
      </c>
      <c r="G88" s="8">
        <v>3.24</v>
      </c>
      <c r="H88" s="8">
        <v>3.21</v>
      </c>
      <c r="I88" s="8">
        <v>40.18</v>
      </c>
      <c r="J88" s="8">
        <v>18.86</v>
      </c>
      <c r="K88" s="8">
        <v>93.65</v>
      </c>
      <c r="L88" s="8">
        <v>0.4</v>
      </c>
      <c r="M88" s="7">
        <v>20</v>
      </c>
      <c r="N88" s="7">
        <v>7</v>
      </c>
      <c r="O88" s="7">
        <v>0.7</v>
      </c>
    </row>
    <row r="89" spans="1:15" x14ac:dyDescent="0.35">
      <c r="A89" s="3">
        <v>2</v>
      </c>
      <c r="B89" s="3">
        <v>5</v>
      </c>
      <c r="C89" s="3" t="s">
        <v>26</v>
      </c>
      <c r="D89" s="4" t="s">
        <v>30</v>
      </c>
      <c r="E89" s="4" t="s">
        <v>27</v>
      </c>
      <c r="F89" s="16">
        <v>0.84097222222222223</v>
      </c>
      <c r="G89" s="5">
        <v>3.24</v>
      </c>
      <c r="H89" s="5">
        <v>2.5</v>
      </c>
      <c r="I89" s="5">
        <v>43.89</v>
      </c>
      <c r="J89" s="5">
        <v>18.760000000000002</v>
      </c>
      <c r="K89" s="5">
        <v>93.56</v>
      </c>
      <c r="L89" s="5">
        <v>0.3</v>
      </c>
      <c r="M89" s="4">
        <v>20</v>
      </c>
      <c r="N89" s="4">
        <v>7</v>
      </c>
      <c r="O89" s="4">
        <v>0.7</v>
      </c>
    </row>
    <row r="90" spans="1:15" x14ac:dyDescent="0.35">
      <c r="A90" s="6">
        <v>3</v>
      </c>
      <c r="B90" s="6">
        <v>1</v>
      </c>
      <c r="C90" s="6" t="s">
        <v>20</v>
      </c>
      <c r="D90" s="7" t="s">
        <v>30</v>
      </c>
      <c r="E90" s="7" t="s">
        <v>27</v>
      </c>
      <c r="F90" s="18">
        <v>0.88541666666666663</v>
      </c>
      <c r="G90" s="8">
        <v>51.26</v>
      </c>
      <c r="H90" s="8">
        <v>3.82</v>
      </c>
      <c r="I90" s="8">
        <v>44.17</v>
      </c>
      <c r="J90" s="8">
        <v>18.12</v>
      </c>
      <c r="K90" s="8">
        <v>93.56</v>
      </c>
      <c r="L90" s="8">
        <v>12</v>
      </c>
      <c r="M90" s="7">
        <v>20</v>
      </c>
      <c r="N90" s="7">
        <v>7</v>
      </c>
      <c r="O90" s="7">
        <v>0.7</v>
      </c>
    </row>
    <row r="91" spans="1:15" x14ac:dyDescent="0.35">
      <c r="A91" s="3">
        <v>3</v>
      </c>
      <c r="B91" s="3">
        <v>2</v>
      </c>
      <c r="C91" s="3" t="s">
        <v>23</v>
      </c>
      <c r="D91" s="4" t="s">
        <v>30</v>
      </c>
      <c r="E91" s="4" t="s">
        <v>27</v>
      </c>
      <c r="F91" s="16">
        <v>0.92083333333333328</v>
      </c>
      <c r="G91" s="5">
        <v>3.14</v>
      </c>
      <c r="H91" s="5">
        <v>2.95</v>
      </c>
      <c r="I91" s="5">
        <v>47.68</v>
      </c>
      <c r="J91" s="5">
        <v>18.91</v>
      </c>
      <c r="K91" s="5">
        <v>94.09</v>
      </c>
      <c r="L91" s="5">
        <v>1.3</v>
      </c>
      <c r="M91" s="4">
        <v>20</v>
      </c>
      <c r="N91" s="4">
        <v>7</v>
      </c>
      <c r="O91" s="4">
        <v>0.7</v>
      </c>
    </row>
    <row r="92" spans="1:15" x14ac:dyDescent="0.35">
      <c r="A92" s="6">
        <v>3</v>
      </c>
      <c r="B92" s="6">
        <v>3</v>
      </c>
      <c r="C92" s="6" t="s">
        <v>24</v>
      </c>
      <c r="D92" s="7" t="s">
        <v>30</v>
      </c>
      <c r="E92" s="7" t="s">
        <v>27</v>
      </c>
      <c r="F92" s="18">
        <v>0.92361111111111116</v>
      </c>
      <c r="G92" s="8">
        <v>3.18</v>
      </c>
      <c r="H92" s="8">
        <v>2.2599999999999998</v>
      </c>
      <c r="I92" s="8">
        <v>50.5</v>
      </c>
      <c r="J92" s="8">
        <v>18.79</v>
      </c>
      <c r="K92" s="8">
        <v>93.29</v>
      </c>
      <c r="L92" s="8">
        <v>0.3</v>
      </c>
      <c r="M92" s="7">
        <v>20</v>
      </c>
      <c r="N92" s="7">
        <v>7</v>
      </c>
      <c r="O92" s="7">
        <v>0.7</v>
      </c>
    </row>
    <row r="93" spans="1:15" x14ac:dyDescent="0.35">
      <c r="A93" s="3">
        <v>3</v>
      </c>
      <c r="B93" s="3">
        <v>4</v>
      </c>
      <c r="C93" s="3" t="s">
        <v>25</v>
      </c>
      <c r="D93" s="4" t="s">
        <v>30</v>
      </c>
      <c r="E93" s="4" t="s">
        <v>27</v>
      </c>
      <c r="F93" s="16">
        <v>0.92569444444444449</v>
      </c>
      <c r="G93" s="5">
        <v>3.1</v>
      </c>
      <c r="H93" s="5">
        <v>2.39</v>
      </c>
      <c r="I93" s="5">
        <v>46.92</v>
      </c>
      <c r="J93" s="5">
        <v>18.829999999999998</v>
      </c>
      <c r="K93" s="5">
        <v>93.51</v>
      </c>
      <c r="L93" s="5">
        <v>0.3</v>
      </c>
      <c r="M93" s="4">
        <v>20</v>
      </c>
      <c r="N93" s="4">
        <v>7</v>
      </c>
      <c r="O93" s="4">
        <v>0.7</v>
      </c>
    </row>
    <row r="94" spans="1:15" x14ac:dyDescent="0.35">
      <c r="A94" s="6">
        <v>3</v>
      </c>
      <c r="B94" s="6">
        <v>5</v>
      </c>
      <c r="C94" s="6" t="s">
        <v>26</v>
      </c>
      <c r="D94" s="7" t="s">
        <v>30</v>
      </c>
      <c r="E94" s="7" t="s">
        <v>27</v>
      </c>
      <c r="F94" s="18">
        <v>0.92847222222222225</v>
      </c>
      <c r="G94" s="8">
        <v>3.06</v>
      </c>
      <c r="H94" s="8">
        <v>2.5</v>
      </c>
      <c r="I94" s="8">
        <v>32.69</v>
      </c>
      <c r="J94" s="8">
        <v>18.71</v>
      </c>
      <c r="K94" s="8">
        <v>93.17</v>
      </c>
      <c r="L94" s="8">
        <v>0.3</v>
      </c>
      <c r="M94" s="7">
        <v>20</v>
      </c>
      <c r="N94" s="7">
        <v>7</v>
      </c>
      <c r="O94" s="7">
        <v>0.7</v>
      </c>
    </row>
    <row r="95" spans="1:15" x14ac:dyDescent="0.35">
      <c r="A95" s="3">
        <v>1</v>
      </c>
      <c r="B95" s="3">
        <v>1</v>
      </c>
      <c r="C95" s="3" t="s">
        <v>20</v>
      </c>
      <c r="D95" s="4" t="s">
        <v>30</v>
      </c>
      <c r="E95" s="4" t="s">
        <v>28</v>
      </c>
      <c r="F95" s="16">
        <v>0.90347222222222223</v>
      </c>
      <c r="G95" s="5">
        <v>71.27</v>
      </c>
      <c r="H95" s="5">
        <v>3.35</v>
      </c>
      <c r="I95" s="5">
        <v>34.65</v>
      </c>
      <c r="J95" s="5">
        <v>18.95</v>
      </c>
      <c r="K95" s="5">
        <v>93.46</v>
      </c>
      <c r="L95" s="5">
        <v>8.9</v>
      </c>
      <c r="M95" s="4">
        <v>30</v>
      </c>
      <c r="N95" s="4">
        <v>5</v>
      </c>
      <c r="O95" s="4">
        <v>0.3</v>
      </c>
    </row>
    <row r="96" spans="1:15" x14ac:dyDescent="0.35">
      <c r="A96" s="6">
        <v>1</v>
      </c>
      <c r="B96" s="6">
        <v>2</v>
      </c>
      <c r="C96" s="6" t="s">
        <v>23</v>
      </c>
      <c r="D96" s="7" t="s">
        <v>30</v>
      </c>
      <c r="E96" s="7" t="s">
        <v>28</v>
      </c>
      <c r="F96" s="18">
        <v>0.95347222222222228</v>
      </c>
      <c r="G96" s="8">
        <v>4.46</v>
      </c>
      <c r="H96" s="8">
        <v>1.61</v>
      </c>
      <c r="I96" s="8">
        <v>19.41</v>
      </c>
      <c r="J96" s="8">
        <v>18.02</v>
      </c>
      <c r="K96" s="8">
        <v>93.11</v>
      </c>
      <c r="L96" s="8">
        <v>1.3</v>
      </c>
      <c r="M96" s="7">
        <v>30</v>
      </c>
      <c r="N96" s="7">
        <v>5</v>
      </c>
      <c r="O96" s="7">
        <v>0.3</v>
      </c>
    </row>
    <row r="97" spans="1:15" x14ac:dyDescent="0.35">
      <c r="A97" s="3">
        <v>1</v>
      </c>
      <c r="B97" s="3">
        <v>3</v>
      </c>
      <c r="C97" s="3" t="s">
        <v>24</v>
      </c>
      <c r="D97" s="4" t="s">
        <v>30</v>
      </c>
      <c r="E97" s="4" t="s">
        <v>28</v>
      </c>
      <c r="F97" s="16">
        <v>0.9604166666666667</v>
      </c>
      <c r="G97" s="5">
        <v>39.520000000000003</v>
      </c>
      <c r="H97" s="5">
        <v>2.94</v>
      </c>
      <c r="I97" s="5">
        <v>19.32</v>
      </c>
      <c r="J97" s="5">
        <v>19.02</v>
      </c>
      <c r="K97" s="5">
        <v>93.56</v>
      </c>
      <c r="L97" s="5">
        <v>3.9</v>
      </c>
      <c r="M97" s="4">
        <v>30</v>
      </c>
      <c r="N97" s="4">
        <v>5</v>
      </c>
      <c r="O97" s="4">
        <v>0.3</v>
      </c>
    </row>
    <row r="98" spans="1:15" x14ac:dyDescent="0.35">
      <c r="A98" s="6">
        <v>1</v>
      </c>
      <c r="B98" s="6">
        <v>4</v>
      </c>
      <c r="C98" s="6" t="s">
        <v>25</v>
      </c>
      <c r="D98" s="7" t="s">
        <v>30</v>
      </c>
      <c r="E98" s="7" t="s">
        <v>28</v>
      </c>
      <c r="F98" s="18">
        <v>0.98819444444444449</v>
      </c>
      <c r="G98" s="8">
        <v>6.25</v>
      </c>
      <c r="H98" s="8">
        <v>2</v>
      </c>
      <c r="I98" s="8">
        <v>17.73</v>
      </c>
      <c r="J98" s="8">
        <v>18.21</v>
      </c>
      <c r="K98" s="8">
        <v>92.18</v>
      </c>
      <c r="L98" s="8">
        <v>1.8</v>
      </c>
      <c r="M98" s="7">
        <v>30</v>
      </c>
      <c r="N98" s="7">
        <v>5</v>
      </c>
      <c r="O98" s="7">
        <v>0.3</v>
      </c>
    </row>
    <row r="99" spans="1:15" x14ac:dyDescent="0.35">
      <c r="A99" s="3">
        <v>1</v>
      </c>
      <c r="B99" s="3">
        <v>5</v>
      </c>
      <c r="C99" s="3" t="s">
        <v>26</v>
      </c>
      <c r="D99" s="4" t="s">
        <v>30</v>
      </c>
      <c r="E99" s="4" t="s">
        <v>28</v>
      </c>
      <c r="F99" s="16">
        <v>0.99305555555555558</v>
      </c>
      <c r="G99" s="5">
        <v>3.44</v>
      </c>
      <c r="H99" s="5">
        <v>1.95</v>
      </c>
      <c r="I99" s="5">
        <v>21.8</v>
      </c>
      <c r="J99" s="5">
        <v>18.21</v>
      </c>
      <c r="K99" s="5">
        <v>92.28</v>
      </c>
      <c r="L99" s="5">
        <v>0.5</v>
      </c>
      <c r="M99" s="4">
        <v>30</v>
      </c>
      <c r="N99" s="4">
        <v>5</v>
      </c>
      <c r="O99" s="4">
        <v>0.3</v>
      </c>
    </row>
    <row r="100" spans="1:15" x14ac:dyDescent="0.35">
      <c r="A100" s="6">
        <v>2</v>
      </c>
      <c r="B100" s="6">
        <v>1</v>
      </c>
      <c r="C100" s="6" t="s">
        <v>20</v>
      </c>
      <c r="D100" s="7" t="s">
        <v>30</v>
      </c>
      <c r="E100" s="7" t="s">
        <v>28</v>
      </c>
      <c r="F100" s="18">
        <v>0.38333333333333336</v>
      </c>
      <c r="G100" s="8">
        <v>47.21</v>
      </c>
      <c r="H100" s="8">
        <v>3.88</v>
      </c>
      <c r="I100" s="8">
        <v>36.130000000000003</v>
      </c>
      <c r="J100" s="8">
        <v>18.96</v>
      </c>
      <c r="K100" s="8">
        <v>93.19</v>
      </c>
      <c r="L100" s="8">
        <v>11.1</v>
      </c>
      <c r="M100" s="7">
        <v>30</v>
      </c>
      <c r="N100" s="7">
        <v>5</v>
      </c>
      <c r="O100" s="7">
        <v>0.3</v>
      </c>
    </row>
    <row r="101" spans="1:15" x14ac:dyDescent="0.35">
      <c r="A101" s="3">
        <v>2</v>
      </c>
      <c r="B101" s="3">
        <v>2</v>
      </c>
      <c r="C101" s="3" t="s">
        <v>23</v>
      </c>
      <c r="D101" s="4" t="s">
        <v>30</v>
      </c>
      <c r="E101" s="4" t="s">
        <v>28</v>
      </c>
      <c r="F101" s="16">
        <v>0.41666666666666669</v>
      </c>
      <c r="G101" s="5">
        <v>4.12</v>
      </c>
      <c r="H101" s="5">
        <v>2.81</v>
      </c>
      <c r="I101" s="5">
        <v>44.9</v>
      </c>
      <c r="J101" s="5">
        <v>18.21</v>
      </c>
      <c r="K101" s="5">
        <v>93.32</v>
      </c>
      <c r="L101" s="5">
        <v>1.2</v>
      </c>
      <c r="M101" s="4">
        <v>30</v>
      </c>
      <c r="N101" s="4">
        <v>5</v>
      </c>
      <c r="O101" s="4">
        <v>0.3</v>
      </c>
    </row>
    <row r="102" spans="1:15" x14ac:dyDescent="0.35">
      <c r="A102" s="6">
        <v>2</v>
      </c>
      <c r="B102" s="6">
        <v>3</v>
      </c>
      <c r="C102" s="6" t="s">
        <v>24</v>
      </c>
      <c r="D102" s="7" t="s">
        <v>30</v>
      </c>
      <c r="E102" s="7" t="s">
        <v>28</v>
      </c>
      <c r="F102" s="18">
        <v>0.41944444444444445</v>
      </c>
      <c r="G102" s="8">
        <v>3.38</v>
      </c>
      <c r="H102" s="8">
        <v>2.5299999999999998</v>
      </c>
      <c r="I102" s="8">
        <v>32.479999999999997</v>
      </c>
      <c r="J102" s="8">
        <v>18.22</v>
      </c>
      <c r="K102" s="8">
        <v>93.57</v>
      </c>
      <c r="L102" s="8">
        <v>0.4</v>
      </c>
      <c r="M102" s="7">
        <v>30</v>
      </c>
      <c r="N102" s="7">
        <v>5</v>
      </c>
      <c r="O102" s="7">
        <v>0.3</v>
      </c>
    </row>
    <row r="103" spans="1:15" x14ac:dyDescent="0.35">
      <c r="A103" s="3">
        <v>2</v>
      </c>
      <c r="B103" s="3">
        <v>4</v>
      </c>
      <c r="C103" s="3" t="s">
        <v>25</v>
      </c>
      <c r="D103" s="4" t="s">
        <v>30</v>
      </c>
      <c r="E103" s="4" t="s">
        <v>28</v>
      </c>
      <c r="F103" s="16">
        <v>0.42222222222222222</v>
      </c>
      <c r="G103" s="5">
        <v>3.41</v>
      </c>
      <c r="H103" s="5">
        <v>2.2000000000000002</v>
      </c>
      <c r="I103" s="5">
        <v>40.61</v>
      </c>
      <c r="J103" s="5">
        <v>18.190000000000001</v>
      </c>
      <c r="K103" s="5">
        <v>93.61</v>
      </c>
      <c r="L103" s="5">
        <v>0.4</v>
      </c>
      <c r="M103" s="4">
        <v>30</v>
      </c>
      <c r="N103" s="4">
        <v>5</v>
      </c>
      <c r="O103" s="4">
        <v>0.3</v>
      </c>
    </row>
    <row r="104" spans="1:15" x14ac:dyDescent="0.35">
      <c r="A104" s="6">
        <v>2</v>
      </c>
      <c r="B104" s="6">
        <v>5</v>
      </c>
      <c r="C104" s="6" t="s">
        <v>26</v>
      </c>
      <c r="D104" s="7" t="s">
        <v>30</v>
      </c>
      <c r="E104" s="7" t="s">
        <v>28</v>
      </c>
      <c r="F104" s="18">
        <v>0.42499999999999999</v>
      </c>
      <c r="G104" s="8">
        <v>3.24</v>
      </c>
      <c r="H104" s="8">
        <v>2.71</v>
      </c>
      <c r="I104" s="8">
        <v>44.2</v>
      </c>
      <c r="J104" s="8">
        <v>17.96</v>
      </c>
      <c r="K104" s="8">
        <v>93.28</v>
      </c>
      <c r="L104" s="8">
        <v>0.4</v>
      </c>
      <c r="M104" s="7">
        <v>30</v>
      </c>
      <c r="N104" s="7">
        <v>5</v>
      </c>
      <c r="O104" s="7">
        <v>0.3</v>
      </c>
    </row>
    <row r="105" spans="1:15" x14ac:dyDescent="0.35">
      <c r="A105" s="3">
        <v>3</v>
      </c>
      <c r="B105" s="3">
        <v>1</v>
      </c>
      <c r="C105" s="3" t="s">
        <v>20</v>
      </c>
      <c r="D105" s="4" t="s">
        <v>30</v>
      </c>
      <c r="E105" s="4" t="s">
        <v>28</v>
      </c>
      <c r="F105" s="16">
        <v>0.94027777777777777</v>
      </c>
      <c r="G105" s="5">
        <v>73.510000000000005</v>
      </c>
      <c r="H105" s="5">
        <v>2.76</v>
      </c>
      <c r="I105" s="5">
        <v>23.29</v>
      </c>
      <c r="J105" s="5">
        <v>18.93</v>
      </c>
      <c r="K105" s="5">
        <v>92.84</v>
      </c>
      <c r="L105" s="5">
        <v>7.1</v>
      </c>
      <c r="M105" s="4">
        <v>30</v>
      </c>
      <c r="N105" s="4">
        <v>5</v>
      </c>
      <c r="O105" s="4">
        <v>0.3</v>
      </c>
    </row>
    <row r="106" spans="1:15" x14ac:dyDescent="0.35">
      <c r="A106" s="6">
        <v>3</v>
      </c>
      <c r="B106" s="6">
        <v>2</v>
      </c>
      <c r="C106" s="6" t="s">
        <v>23</v>
      </c>
      <c r="D106" s="7" t="s">
        <v>30</v>
      </c>
      <c r="E106" s="7" t="s">
        <v>28</v>
      </c>
      <c r="F106" s="18">
        <v>0.99097222222222225</v>
      </c>
      <c r="G106" s="8">
        <v>5.39</v>
      </c>
      <c r="H106" s="8">
        <v>1.54</v>
      </c>
      <c r="I106" s="8">
        <v>22.84</v>
      </c>
      <c r="J106" s="8">
        <v>17.98</v>
      </c>
      <c r="K106" s="8">
        <v>92.9</v>
      </c>
      <c r="L106" s="8">
        <v>1.1000000000000001</v>
      </c>
      <c r="M106" s="7">
        <v>30</v>
      </c>
      <c r="N106" s="7">
        <v>5</v>
      </c>
      <c r="O106" s="7">
        <v>0.3</v>
      </c>
    </row>
    <row r="107" spans="1:15" x14ac:dyDescent="0.35">
      <c r="A107" s="3">
        <v>3</v>
      </c>
      <c r="B107" s="3">
        <v>3</v>
      </c>
      <c r="C107" s="3" t="s">
        <v>24</v>
      </c>
      <c r="D107" s="4" t="s">
        <v>30</v>
      </c>
      <c r="E107" s="4" t="s">
        <v>28</v>
      </c>
      <c r="F107" s="16">
        <v>0.99513888888888891</v>
      </c>
      <c r="G107" s="5">
        <v>3.35</v>
      </c>
      <c r="H107" s="5">
        <v>1.56</v>
      </c>
      <c r="I107" s="5">
        <v>22.14</v>
      </c>
      <c r="J107" s="5">
        <v>18.02</v>
      </c>
      <c r="K107" s="5">
        <v>93.17</v>
      </c>
      <c r="L107" s="5">
        <v>0.4</v>
      </c>
      <c r="M107" s="4">
        <v>30</v>
      </c>
      <c r="N107" s="4">
        <v>5</v>
      </c>
      <c r="O107" s="4">
        <v>0.3</v>
      </c>
    </row>
    <row r="108" spans="1:15" x14ac:dyDescent="0.35">
      <c r="A108" s="6">
        <v>3</v>
      </c>
      <c r="B108" s="6">
        <v>4</v>
      </c>
      <c r="C108" s="6" t="s">
        <v>25</v>
      </c>
      <c r="D108" s="7" t="s">
        <v>30</v>
      </c>
      <c r="E108" s="7" t="s">
        <v>28</v>
      </c>
      <c r="F108" s="18">
        <v>0.99791666666666667</v>
      </c>
      <c r="G108" s="8">
        <v>3.32</v>
      </c>
      <c r="H108" s="8">
        <v>1.41</v>
      </c>
      <c r="I108" s="8">
        <v>24.41</v>
      </c>
      <c r="J108" s="8">
        <v>17.86</v>
      </c>
      <c r="K108" s="8">
        <v>93.04</v>
      </c>
      <c r="L108" s="8">
        <v>0.4</v>
      </c>
      <c r="M108" s="7">
        <v>30</v>
      </c>
      <c r="N108" s="7">
        <v>5</v>
      </c>
      <c r="O108" s="7">
        <v>0.3</v>
      </c>
    </row>
    <row r="109" spans="1:15" x14ac:dyDescent="0.35">
      <c r="A109" s="3">
        <v>3</v>
      </c>
      <c r="B109" s="3">
        <v>5</v>
      </c>
      <c r="C109" s="3" t="s">
        <v>26</v>
      </c>
      <c r="D109" s="4" t="s">
        <v>30</v>
      </c>
      <c r="E109" s="4" t="s">
        <v>28</v>
      </c>
      <c r="F109" s="16">
        <v>6.9444444444444447E-4</v>
      </c>
      <c r="G109" s="5">
        <v>4.04</v>
      </c>
      <c r="H109" s="5">
        <v>1.42</v>
      </c>
      <c r="I109" s="5">
        <v>20.92</v>
      </c>
      <c r="J109" s="5">
        <v>17.899999999999999</v>
      </c>
      <c r="K109" s="5">
        <v>93.21</v>
      </c>
      <c r="L109" s="5">
        <v>0.3</v>
      </c>
      <c r="M109" s="4">
        <v>30</v>
      </c>
      <c r="N109" s="4">
        <v>5</v>
      </c>
      <c r="O109" s="4">
        <v>0.3</v>
      </c>
    </row>
    <row r="110" spans="1:15" x14ac:dyDescent="0.35">
      <c r="A110" s="6">
        <v>1</v>
      </c>
      <c r="B110" s="6">
        <v>1</v>
      </c>
      <c r="C110" s="6" t="s">
        <v>20</v>
      </c>
      <c r="D110" s="7" t="s">
        <v>30</v>
      </c>
      <c r="E110" s="7" t="s">
        <v>29</v>
      </c>
      <c r="F110" s="18">
        <v>0.48402777777777778</v>
      </c>
      <c r="G110" s="8">
        <v>182.19</v>
      </c>
      <c r="H110" s="8">
        <v>2.34</v>
      </c>
      <c r="I110" s="8">
        <v>24.25</v>
      </c>
      <c r="J110" s="8">
        <v>18.91</v>
      </c>
      <c r="K110" s="8">
        <v>93.11</v>
      </c>
      <c r="L110" s="8">
        <v>2.9</v>
      </c>
      <c r="M110" s="7">
        <v>80</v>
      </c>
      <c r="N110" s="7">
        <v>17</v>
      </c>
      <c r="O110" s="7">
        <v>2</v>
      </c>
    </row>
    <row r="111" spans="1:15" x14ac:dyDescent="0.35">
      <c r="A111" s="3">
        <v>1</v>
      </c>
      <c r="B111" s="3">
        <v>2</v>
      </c>
      <c r="C111" s="3" t="s">
        <v>23</v>
      </c>
      <c r="D111" s="4" t="s">
        <v>30</v>
      </c>
      <c r="E111" s="4" t="s">
        <v>29</v>
      </c>
      <c r="F111" s="16">
        <v>0.61111111111111116</v>
      </c>
      <c r="G111" s="5">
        <v>10.029999999999999</v>
      </c>
      <c r="H111" s="5">
        <v>1.58</v>
      </c>
      <c r="I111" s="5">
        <v>24.23</v>
      </c>
      <c r="J111" s="5">
        <v>18.54</v>
      </c>
      <c r="K111" s="5">
        <v>92.57</v>
      </c>
      <c r="L111" s="5">
        <v>1.1000000000000001</v>
      </c>
      <c r="M111" s="4">
        <v>80</v>
      </c>
      <c r="N111" s="4">
        <v>17</v>
      </c>
      <c r="O111" s="4">
        <v>2</v>
      </c>
    </row>
    <row r="112" spans="1:15" x14ac:dyDescent="0.35">
      <c r="A112" s="6">
        <v>1</v>
      </c>
      <c r="B112" s="6">
        <v>3</v>
      </c>
      <c r="C112" s="6" t="s">
        <v>24</v>
      </c>
      <c r="D112" s="7" t="s">
        <v>30</v>
      </c>
      <c r="E112" s="7" t="s">
        <v>29</v>
      </c>
      <c r="F112" s="18">
        <v>0.61805555555555558</v>
      </c>
      <c r="G112" s="8">
        <v>4.49</v>
      </c>
      <c r="H112" s="8">
        <v>1.55</v>
      </c>
      <c r="I112" s="8">
        <v>21.85</v>
      </c>
      <c r="J112" s="8">
        <v>18.16</v>
      </c>
      <c r="K112" s="8">
        <v>92.25</v>
      </c>
      <c r="L112" s="8">
        <v>0.5</v>
      </c>
      <c r="M112" s="7">
        <v>80</v>
      </c>
      <c r="N112" s="7">
        <v>17</v>
      </c>
      <c r="O112" s="7">
        <v>2</v>
      </c>
    </row>
    <row r="113" spans="1:15" x14ac:dyDescent="0.35">
      <c r="A113" s="3">
        <v>1</v>
      </c>
      <c r="B113" s="3">
        <v>4</v>
      </c>
      <c r="C113" s="3" t="s">
        <v>25</v>
      </c>
      <c r="D113" s="4" t="s">
        <v>30</v>
      </c>
      <c r="E113" s="4" t="s">
        <v>29</v>
      </c>
      <c r="F113" s="16">
        <v>0.62152777777777779</v>
      </c>
      <c r="G113" s="5">
        <v>4.08</v>
      </c>
      <c r="H113" s="5">
        <v>1.37</v>
      </c>
      <c r="I113" s="5">
        <v>26.62</v>
      </c>
      <c r="J113" s="5">
        <v>17.97</v>
      </c>
      <c r="K113" s="5">
        <v>92.86</v>
      </c>
      <c r="L113" s="5">
        <v>0.3</v>
      </c>
      <c r="M113" s="4">
        <v>80</v>
      </c>
      <c r="N113" s="4">
        <v>17</v>
      </c>
      <c r="O113" s="4">
        <v>2</v>
      </c>
    </row>
    <row r="114" spans="1:15" x14ac:dyDescent="0.35">
      <c r="A114" s="6">
        <v>1</v>
      </c>
      <c r="B114" s="6">
        <v>5</v>
      </c>
      <c r="C114" s="6" t="s">
        <v>26</v>
      </c>
      <c r="D114" s="7" t="s">
        <v>30</v>
      </c>
      <c r="E114" s="7" t="s">
        <v>29</v>
      </c>
      <c r="F114" s="18">
        <v>0.62430555555555556</v>
      </c>
      <c r="G114" s="8">
        <v>4.1100000000000003</v>
      </c>
      <c r="H114" s="8">
        <v>1.32</v>
      </c>
      <c r="I114" s="8">
        <v>26.7</v>
      </c>
      <c r="J114" s="8">
        <v>17.89</v>
      </c>
      <c r="K114" s="8">
        <v>93.21</v>
      </c>
      <c r="L114" s="8">
        <v>0.4</v>
      </c>
      <c r="M114" s="7">
        <v>80</v>
      </c>
      <c r="N114" s="7">
        <v>17</v>
      </c>
      <c r="O114" s="7">
        <v>2</v>
      </c>
    </row>
    <row r="115" spans="1:15" x14ac:dyDescent="0.35">
      <c r="A115" s="3">
        <v>2</v>
      </c>
      <c r="B115" s="3">
        <v>1</v>
      </c>
      <c r="C115" s="3" t="s">
        <v>20</v>
      </c>
      <c r="D115" s="4" t="s">
        <v>30</v>
      </c>
      <c r="E115" s="4" t="s">
        <v>29</v>
      </c>
      <c r="F115" s="16">
        <v>0.82152777777777775</v>
      </c>
      <c r="G115" s="5">
        <v>161.21</v>
      </c>
      <c r="H115" s="5">
        <v>2.34</v>
      </c>
      <c r="I115" s="5">
        <v>24.68</v>
      </c>
      <c r="J115" s="5">
        <v>18.89</v>
      </c>
      <c r="K115" s="5">
        <v>93.24</v>
      </c>
      <c r="L115" s="5">
        <v>3.2</v>
      </c>
      <c r="M115" s="4">
        <v>80</v>
      </c>
      <c r="N115" s="4">
        <v>17</v>
      </c>
      <c r="O115" s="4">
        <v>2</v>
      </c>
    </row>
    <row r="116" spans="1:15" x14ac:dyDescent="0.35">
      <c r="A116" s="6">
        <v>2</v>
      </c>
      <c r="B116" s="6">
        <v>2</v>
      </c>
      <c r="C116" s="6" t="s">
        <v>23</v>
      </c>
      <c r="D116" s="7" t="s">
        <v>30</v>
      </c>
      <c r="E116" s="7" t="s">
        <v>29</v>
      </c>
      <c r="F116" s="18">
        <v>0.93333333333333335</v>
      </c>
      <c r="G116" s="8">
        <v>11.38</v>
      </c>
      <c r="H116" s="8">
        <v>1.59</v>
      </c>
      <c r="I116" s="8">
        <v>26.05</v>
      </c>
      <c r="J116" s="8">
        <v>19</v>
      </c>
      <c r="K116" s="8">
        <v>93.18</v>
      </c>
      <c r="L116" s="8">
        <v>0.9</v>
      </c>
      <c r="M116" s="7">
        <v>80</v>
      </c>
      <c r="N116" s="7">
        <v>17</v>
      </c>
      <c r="O116" s="7">
        <v>2</v>
      </c>
    </row>
    <row r="117" spans="1:15" x14ac:dyDescent="0.35">
      <c r="A117" s="3">
        <v>2</v>
      </c>
      <c r="B117" s="3">
        <v>3</v>
      </c>
      <c r="C117" s="3" t="s">
        <v>24</v>
      </c>
      <c r="D117" s="4" t="s">
        <v>30</v>
      </c>
      <c r="E117" s="4" t="s">
        <v>29</v>
      </c>
      <c r="F117" s="16">
        <v>0.94166666666666665</v>
      </c>
      <c r="G117" s="5">
        <v>5.05</v>
      </c>
      <c r="H117" s="5">
        <v>1.46</v>
      </c>
      <c r="I117" s="5">
        <v>24.08</v>
      </c>
      <c r="J117" s="5">
        <v>18.73</v>
      </c>
      <c r="K117" s="5">
        <v>92.94</v>
      </c>
      <c r="L117" s="5">
        <v>0.6</v>
      </c>
      <c r="M117" s="4">
        <v>80</v>
      </c>
      <c r="N117" s="4">
        <v>17</v>
      </c>
      <c r="O117" s="4">
        <v>2</v>
      </c>
    </row>
    <row r="118" spans="1:15" x14ac:dyDescent="0.35">
      <c r="A118" s="6">
        <v>2</v>
      </c>
      <c r="B118" s="6">
        <v>4</v>
      </c>
      <c r="C118" s="6" t="s">
        <v>25</v>
      </c>
      <c r="D118" s="7" t="s">
        <v>30</v>
      </c>
      <c r="E118" s="7" t="s">
        <v>29</v>
      </c>
      <c r="F118" s="18">
        <v>0.94513888888888886</v>
      </c>
      <c r="G118" s="8">
        <v>3.42</v>
      </c>
      <c r="H118" s="8">
        <v>1.5</v>
      </c>
      <c r="I118" s="8">
        <v>24.71</v>
      </c>
      <c r="J118" s="8">
        <v>17.96</v>
      </c>
      <c r="K118" s="8">
        <v>91.84</v>
      </c>
      <c r="L118" s="8">
        <v>0.4</v>
      </c>
      <c r="M118" s="7">
        <v>80</v>
      </c>
      <c r="N118" s="7">
        <v>17</v>
      </c>
      <c r="O118" s="7">
        <v>2</v>
      </c>
    </row>
    <row r="119" spans="1:15" x14ac:dyDescent="0.35">
      <c r="A119" s="3">
        <v>2</v>
      </c>
      <c r="B119" s="3">
        <v>5</v>
      </c>
      <c r="C119" s="3" t="s">
        <v>26</v>
      </c>
      <c r="D119" s="4" t="s">
        <v>30</v>
      </c>
      <c r="E119" s="4" t="s">
        <v>29</v>
      </c>
      <c r="F119" s="16">
        <v>0.94791666666666663</v>
      </c>
      <c r="G119" s="5">
        <v>3.54</v>
      </c>
      <c r="H119" s="5">
        <v>1.47</v>
      </c>
      <c r="I119" s="5">
        <v>24.7</v>
      </c>
      <c r="J119" s="5">
        <v>17.920000000000002</v>
      </c>
      <c r="K119" s="5">
        <v>91.41</v>
      </c>
      <c r="L119" s="5">
        <v>0.3</v>
      </c>
      <c r="M119" s="4">
        <v>80</v>
      </c>
      <c r="N119" s="4">
        <v>17</v>
      </c>
      <c r="O119" s="4">
        <v>2</v>
      </c>
    </row>
    <row r="120" spans="1:15" x14ac:dyDescent="0.35">
      <c r="A120" s="6">
        <v>3</v>
      </c>
      <c r="B120" s="6">
        <v>1</v>
      </c>
      <c r="C120" s="6" t="s">
        <v>20</v>
      </c>
      <c r="D120" s="7" t="s">
        <v>30</v>
      </c>
      <c r="E120" s="7" t="s">
        <v>29</v>
      </c>
      <c r="F120" s="18">
        <v>0.70625000000000004</v>
      </c>
      <c r="G120" s="8">
        <v>173.34</v>
      </c>
      <c r="H120" s="8">
        <v>2.34</v>
      </c>
      <c r="I120" s="8">
        <v>29.24</v>
      </c>
      <c r="J120" s="8">
        <v>18.93</v>
      </c>
      <c r="K120" s="8">
        <v>93.21</v>
      </c>
      <c r="L120" s="8">
        <v>3</v>
      </c>
      <c r="M120" s="7">
        <v>80</v>
      </c>
      <c r="N120" s="7">
        <v>17</v>
      </c>
      <c r="O120" s="7">
        <v>2</v>
      </c>
    </row>
    <row r="121" spans="1:15" x14ac:dyDescent="0.35">
      <c r="A121" s="3">
        <v>3</v>
      </c>
      <c r="B121" s="3">
        <v>2</v>
      </c>
      <c r="C121" s="3" t="s">
        <v>23</v>
      </c>
      <c r="D121" s="4" t="s">
        <v>30</v>
      </c>
      <c r="E121" s="4" t="s">
        <v>29</v>
      </c>
      <c r="F121" s="16">
        <v>0.82708333333333328</v>
      </c>
      <c r="G121" s="5">
        <v>9.5</v>
      </c>
      <c r="H121" s="5">
        <v>1.72</v>
      </c>
      <c r="I121" s="5">
        <v>24.91</v>
      </c>
      <c r="J121" s="5">
        <v>18.21</v>
      </c>
      <c r="K121" s="5">
        <v>92.6</v>
      </c>
      <c r="L121" s="5">
        <v>1.1000000000000001</v>
      </c>
      <c r="M121" s="4">
        <v>80</v>
      </c>
      <c r="N121" s="4">
        <v>17</v>
      </c>
      <c r="O121" s="4">
        <v>2</v>
      </c>
    </row>
    <row r="122" spans="1:15" x14ac:dyDescent="0.35">
      <c r="A122" s="6">
        <v>3</v>
      </c>
      <c r="B122" s="6">
        <v>3</v>
      </c>
      <c r="C122" s="6" t="s">
        <v>24</v>
      </c>
      <c r="D122" s="7" t="s">
        <v>30</v>
      </c>
      <c r="E122" s="7" t="s">
        <v>29</v>
      </c>
      <c r="F122" s="18">
        <v>0.83402777777777781</v>
      </c>
      <c r="G122" s="8">
        <v>5.39</v>
      </c>
      <c r="H122" s="8">
        <v>1.36</v>
      </c>
      <c r="I122" s="8">
        <v>24.89</v>
      </c>
      <c r="J122" s="8">
        <v>17.940000000000001</v>
      </c>
      <c r="K122" s="8">
        <v>92.97</v>
      </c>
      <c r="L122" s="8">
        <v>0.5</v>
      </c>
      <c r="M122" s="7">
        <v>80</v>
      </c>
      <c r="N122" s="7">
        <v>17</v>
      </c>
      <c r="O122" s="7">
        <v>2</v>
      </c>
    </row>
    <row r="123" spans="1:15" x14ac:dyDescent="0.35">
      <c r="A123" s="3">
        <v>3</v>
      </c>
      <c r="B123" s="3">
        <v>4</v>
      </c>
      <c r="C123" s="3" t="s">
        <v>25</v>
      </c>
      <c r="D123" s="4" t="s">
        <v>30</v>
      </c>
      <c r="E123" s="4" t="s">
        <v>29</v>
      </c>
      <c r="F123" s="16">
        <v>0.83819444444444446</v>
      </c>
      <c r="G123" s="5">
        <v>3.51</v>
      </c>
      <c r="H123" s="5">
        <v>1.47</v>
      </c>
      <c r="I123" s="5">
        <v>25.78</v>
      </c>
      <c r="J123" s="5">
        <v>18</v>
      </c>
      <c r="K123" s="5">
        <v>93.36</v>
      </c>
      <c r="L123" s="5">
        <v>0.5</v>
      </c>
      <c r="M123" s="4">
        <v>80</v>
      </c>
      <c r="N123" s="4">
        <v>17</v>
      </c>
      <c r="O123" s="4">
        <v>2</v>
      </c>
    </row>
    <row r="124" spans="1:15" x14ac:dyDescent="0.35">
      <c r="A124" s="6">
        <v>3</v>
      </c>
      <c r="B124" s="6">
        <v>5</v>
      </c>
      <c r="C124" s="6" t="s">
        <v>26</v>
      </c>
      <c r="D124" s="7" t="s">
        <v>30</v>
      </c>
      <c r="E124" s="7" t="s">
        <v>29</v>
      </c>
      <c r="F124" s="18">
        <v>0.84097222222222223</v>
      </c>
      <c r="G124" s="8">
        <v>3.37</v>
      </c>
      <c r="H124" s="8">
        <v>1.47</v>
      </c>
      <c r="I124" s="8">
        <v>26.27</v>
      </c>
      <c r="J124" s="8">
        <v>17.89</v>
      </c>
      <c r="K124" s="8">
        <v>93.24</v>
      </c>
      <c r="L124" s="8">
        <v>0.4</v>
      </c>
      <c r="M124" s="7">
        <v>80</v>
      </c>
      <c r="N124" s="7">
        <v>17</v>
      </c>
      <c r="O124" s="7">
        <v>2</v>
      </c>
    </row>
  </sheetData>
  <autoFilter ref="D4:D124" xr:uid="{00000000-0001-0000-0000-000000000000}"/>
  <mergeCells count="6">
    <mergeCell ref="A1:O1"/>
    <mergeCell ref="A2:O2"/>
    <mergeCell ref="A3:E3"/>
    <mergeCell ref="F3:G3"/>
    <mergeCell ref="I3:L3"/>
    <mergeCell ref="M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tabSelected="1" zoomScaleNormal="100" workbookViewId="0">
      <pane ySplit="5" topLeftCell="A6" activePane="bottomLeft" state="frozen"/>
      <selection pane="bottomLeft" activeCell="I24" sqref="I24"/>
    </sheetView>
  </sheetViews>
  <sheetFormatPr defaultColWidth="8.54296875" defaultRowHeight="14.5" x14ac:dyDescent="0.35"/>
  <cols>
    <col min="1" max="1" width="7" customWidth="1"/>
    <col min="2" max="2" width="9" customWidth="1"/>
    <col min="3" max="3" width="20" customWidth="1"/>
    <col min="4" max="4" width="24" customWidth="1"/>
    <col min="5" max="5" width="11" customWidth="1"/>
    <col min="6" max="8" width="12" customWidth="1"/>
    <col min="9" max="10" width="11" customWidth="1"/>
    <col min="11" max="11" width="16.1796875" customWidth="1"/>
    <col min="12" max="12" width="16" customWidth="1"/>
    <col min="13" max="13" width="13" customWidth="1"/>
    <col min="14" max="14" width="20" customWidth="1"/>
    <col min="15" max="16" width="16" customWidth="1"/>
  </cols>
  <sheetData>
    <row r="1" spans="1:16" ht="27.75" customHeight="1" x14ac:dyDescent="0.35">
      <c r="A1" s="21" t="s">
        <v>31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9.5" customHeight="1" x14ac:dyDescent="0.3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x14ac:dyDescent="0.35">
      <c r="A3" s="23" t="s">
        <v>1</v>
      </c>
      <c r="B3" s="23"/>
      <c r="C3" s="23"/>
      <c r="D3" s="23"/>
      <c r="E3" s="23"/>
      <c r="F3" s="23" t="s">
        <v>32</v>
      </c>
      <c r="G3" s="23"/>
      <c r="H3" s="23" t="s">
        <v>33</v>
      </c>
      <c r="I3" s="23"/>
      <c r="J3" s="23"/>
      <c r="K3" s="23"/>
      <c r="L3" s="23"/>
      <c r="M3" s="1" t="s">
        <v>34</v>
      </c>
      <c r="N3" s="1"/>
      <c r="O3" s="23" t="s">
        <v>35</v>
      </c>
      <c r="P3" s="23"/>
    </row>
    <row r="4" spans="1:16" ht="39.75" customHeight="1" x14ac:dyDescent="0.35">
      <c r="A4" s="2" t="s">
        <v>36</v>
      </c>
      <c r="B4" s="2" t="s">
        <v>5</v>
      </c>
      <c r="C4" s="2" t="s">
        <v>8</v>
      </c>
      <c r="D4" s="2" t="s">
        <v>9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14</v>
      </c>
      <c r="K4" s="2" t="s">
        <v>15</v>
      </c>
      <c r="L4" s="2" t="s">
        <v>42</v>
      </c>
      <c r="M4" s="2" t="s">
        <v>43</v>
      </c>
      <c r="N4" s="2" t="s">
        <v>44</v>
      </c>
      <c r="O4" s="2" t="s">
        <v>45</v>
      </c>
      <c r="P4" s="2" t="s">
        <v>46</v>
      </c>
    </row>
    <row r="5" spans="1:16" x14ac:dyDescent="0.35">
      <c r="A5" s="9">
        <v>1</v>
      </c>
      <c r="B5" s="10">
        <v>1</v>
      </c>
      <c r="C5" s="10" t="s">
        <v>21</v>
      </c>
      <c r="D5" s="10" t="s">
        <v>22</v>
      </c>
      <c r="E5" s="10" t="s">
        <v>47</v>
      </c>
      <c r="F5" s="11">
        <v>45</v>
      </c>
      <c r="G5" s="11">
        <v>900</v>
      </c>
      <c r="H5" s="11">
        <v>50.16</v>
      </c>
      <c r="I5" s="11">
        <v>54.5</v>
      </c>
      <c r="J5" s="11">
        <v>44.21</v>
      </c>
      <c r="K5" s="11">
        <v>92.55</v>
      </c>
      <c r="L5" s="11">
        <v>1.378304</v>
      </c>
      <c r="M5" s="11" t="s">
        <v>48</v>
      </c>
      <c r="N5" s="19">
        <v>0.94652777777777775</v>
      </c>
      <c r="O5" s="12" t="str">
        <f t="shared" ref="O5:O28" si="0">IFERROR(IF(ISNUMBER(F5),IF(F5&lt;=300,"✓ Met","✗ Exceeded"),"-"),"-")</f>
        <v>✓ Met</v>
      </c>
      <c r="P5" s="12" t="str">
        <f t="shared" ref="P5:P28" si="1">IFERROR(IF(ISNUMBER(G5),IF(G5&lt;=900,"✓ Met","✗ Exceeded"),"-"),"-")</f>
        <v>✓ Met</v>
      </c>
    </row>
    <row r="6" spans="1:16" x14ac:dyDescent="0.35">
      <c r="A6" s="13">
        <v>2</v>
      </c>
      <c r="B6" s="14">
        <v>2</v>
      </c>
      <c r="C6" s="14" t="s">
        <v>21</v>
      </c>
      <c r="D6" s="14" t="s">
        <v>22</v>
      </c>
      <c r="E6" s="14" t="s">
        <v>47</v>
      </c>
      <c r="F6" s="15">
        <v>45</v>
      </c>
      <c r="G6" s="15">
        <v>900</v>
      </c>
      <c r="H6" s="15">
        <v>38.93</v>
      </c>
      <c r="I6" s="15">
        <v>37.380000000000003</v>
      </c>
      <c r="J6" s="15">
        <v>42.88</v>
      </c>
      <c r="K6" s="15">
        <v>91.97</v>
      </c>
      <c r="L6" s="15">
        <v>1.1468799999999999</v>
      </c>
      <c r="M6" s="15" t="s">
        <v>48</v>
      </c>
      <c r="N6" s="20">
        <v>1.5972222222222221E-2</v>
      </c>
      <c r="O6" s="12" t="str">
        <f t="shared" si="0"/>
        <v>✓ Met</v>
      </c>
      <c r="P6" s="12" t="str">
        <f t="shared" si="1"/>
        <v>✓ Met</v>
      </c>
    </row>
    <row r="7" spans="1:16" x14ac:dyDescent="0.35">
      <c r="A7" s="9">
        <v>3</v>
      </c>
      <c r="B7" s="10">
        <v>3</v>
      </c>
      <c r="C7" s="10" t="s">
        <v>21</v>
      </c>
      <c r="D7" s="10" t="s">
        <v>22</v>
      </c>
      <c r="E7" s="10" t="s">
        <v>47</v>
      </c>
      <c r="F7" s="11">
        <v>44</v>
      </c>
      <c r="G7" s="11">
        <v>900</v>
      </c>
      <c r="H7" s="11">
        <v>35.799999999999997</v>
      </c>
      <c r="I7" s="11">
        <v>36.53</v>
      </c>
      <c r="J7" s="11">
        <v>41.9</v>
      </c>
      <c r="K7" s="11">
        <v>90.28</v>
      </c>
      <c r="L7" s="11">
        <v>1.435648</v>
      </c>
      <c r="M7" s="11" t="s">
        <v>48</v>
      </c>
      <c r="N7" s="19">
        <v>0.91319444444444442</v>
      </c>
      <c r="O7" s="12" t="str">
        <f t="shared" si="0"/>
        <v>✓ Met</v>
      </c>
      <c r="P7" s="12" t="str">
        <f t="shared" si="1"/>
        <v>✓ Met</v>
      </c>
    </row>
    <row r="8" spans="1:16" x14ac:dyDescent="0.35">
      <c r="A8" s="13">
        <v>4</v>
      </c>
      <c r="B8" s="14">
        <v>1</v>
      </c>
      <c r="C8" s="14" t="s">
        <v>21</v>
      </c>
      <c r="D8" s="14" t="s">
        <v>27</v>
      </c>
      <c r="E8" s="14" t="s">
        <v>49</v>
      </c>
      <c r="F8" s="15">
        <v>44</v>
      </c>
      <c r="G8" s="15">
        <v>900</v>
      </c>
      <c r="H8" s="15">
        <v>40.94</v>
      </c>
      <c r="I8" s="15">
        <v>27.86</v>
      </c>
      <c r="J8" s="15">
        <v>41.76</v>
      </c>
      <c r="K8" s="15">
        <v>92.83</v>
      </c>
      <c r="L8" s="15">
        <v>1.5329280000000001</v>
      </c>
      <c r="M8" s="15" t="s">
        <v>48</v>
      </c>
      <c r="N8" s="20">
        <v>0.5756944444444444</v>
      </c>
      <c r="O8" s="12" t="str">
        <f t="shared" si="0"/>
        <v>✓ Met</v>
      </c>
      <c r="P8" s="12" t="str">
        <f t="shared" si="1"/>
        <v>✓ Met</v>
      </c>
    </row>
    <row r="9" spans="1:16" x14ac:dyDescent="0.35">
      <c r="A9" s="9">
        <v>5</v>
      </c>
      <c r="B9" s="10">
        <v>2</v>
      </c>
      <c r="C9" s="10" t="s">
        <v>21</v>
      </c>
      <c r="D9" s="10" t="s">
        <v>27</v>
      </c>
      <c r="E9" s="10" t="s">
        <v>49</v>
      </c>
      <c r="F9" s="11">
        <v>44</v>
      </c>
      <c r="G9" s="11">
        <v>900</v>
      </c>
      <c r="H9" s="11">
        <v>40.39</v>
      </c>
      <c r="I9" s="11">
        <v>31.33</v>
      </c>
      <c r="J9" s="11">
        <v>41.69</v>
      </c>
      <c r="K9" s="11">
        <v>91.86</v>
      </c>
      <c r="L9" s="11">
        <v>1.0250239999999999</v>
      </c>
      <c r="M9" s="11" t="s">
        <v>48</v>
      </c>
      <c r="N9" s="19">
        <v>0.83125000000000004</v>
      </c>
      <c r="O9" s="12" t="str">
        <f t="shared" si="0"/>
        <v>✓ Met</v>
      </c>
      <c r="P9" s="12" t="str">
        <f t="shared" si="1"/>
        <v>✓ Met</v>
      </c>
    </row>
    <row r="10" spans="1:16" x14ac:dyDescent="0.35">
      <c r="A10" s="13">
        <v>6</v>
      </c>
      <c r="B10" s="14">
        <v>3</v>
      </c>
      <c r="C10" s="14" t="s">
        <v>21</v>
      </c>
      <c r="D10" s="14" t="s">
        <v>27</v>
      </c>
      <c r="E10" s="14" t="s">
        <v>49</v>
      </c>
      <c r="F10" s="15">
        <v>52</v>
      </c>
      <c r="G10" s="15">
        <v>900</v>
      </c>
      <c r="H10" s="15">
        <v>32.35</v>
      </c>
      <c r="I10" s="15">
        <v>33.33</v>
      </c>
      <c r="J10" s="15">
        <v>41.89</v>
      </c>
      <c r="K10" s="15">
        <v>92.74</v>
      </c>
      <c r="L10" s="15">
        <v>1.2318720000000001</v>
      </c>
      <c r="M10" s="15" t="s">
        <v>48</v>
      </c>
      <c r="N10" s="20">
        <v>0.87083333333333335</v>
      </c>
      <c r="O10" s="12" t="str">
        <f t="shared" si="0"/>
        <v>✓ Met</v>
      </c>
      <c r="P10" s="12" t="str">
        <f t="shared" si="1"/>
        <v>✓ Met</v>
      </c>
    </row>
    <row r="11" spans="1:16" x14ac:dyDescent="0.35">
      <c r="A11" s="9">
        <v>7</v>
      </c>
      <c r="B11" s="10">
        <v>1</v>
      </c>
      <c r="C11" s="10" t="s">
        <v>21</v>
      </c>
      <c r="D11" s="10" t="s">
        <v>28</v>
      </c>
      <c r="E11" s="10" t="s">
        <v>47</v>
      </c>
      <c r="F11" s="11">
        <v>74</v>
      </c>
      <c r="G11" s="11">
        <v>900</v>
      </c>
      <c r="H11" s="11">
        <v>42.45</v>
      </c>
      <c r="I11" s="11">
        <v>37.94</v>
      </c>
      <c r="J11" s="11">
        <v>42.05</v>
      </c>
      <c r="K11" s="11">
        <v>93.12</v>
      </c>
      <c r="L11" s="11">
        <v>1.808384</v>
      </c>
      <c r="M11" s="11" t="s">
        <v>48</v>
      </c>
      <c r="N11" s="19">
        <v>0.48749999999999999</v>
      </c>
      <c r="O11" s="12" t="str">
        <f t="shared" si="0"/>
        <v>✓ Met</v>
      </c>
      <c r="P11" s="12" t="str">
        <f t="shared" si="1"/>
        <v>✓ Met</v>
      </c>
    </row>
    <row r="12" spans="1:16" x14ac:dyDescent="0.35">
      <c r="A12" s="13">
        <v>8</v>
      </c>
      <c r="B12" s="14">
        <v>2</v>
      </c>
      <c r="C12" s="14" t="s">
        <v>21</v>
      </c>
      <c r="D12" s="14" t="s">
        <v>28</v>
      </c>
      <c r="E12" s="14" t="s">
        <v>47</v>
      </c>
      <c r="F12" s="15">
        <v>37</v>
      </c>
      <c r="G12" s="15">
        <v>900</v>
      </c>
      <c r="H12" s="15">
        <v>47.19</v>
      </c>
      <c r="I12" s="15">
        <v>34.72</v>
      </c>
      <c r="J12" s="15">
        <v>42.66</v>
      </c>
      <c r="K12" s="15">
        <v>92.96</v>
      </c>
      <c r="L12" s="15">
        <v>2.6142720000000002</v>
      </c>
      <c r="M12" s="15" t="s">
        <v>48</v>
      </c>
      <c r="N12" s="20">
        <v>0.84930555555555554</v>
      </c>
      <c r="O12" s="12" t="str">
        <f t="shared" si="0"/>
        <v>✓ Met</v>
      </c>
      <c r="P12" s="12" t="str">
        <f t="shared" si="1"/>
        <v>✓ Met</v>
      </c>
    </row>
    <row r="13" spans="1:16" x14ac:dyDescent="0.35">
      <c r="A13" s="9">
        <v>9</v>
      </c>
      <c r="B13" s="10">
        <v>3</v>
      </c>
      <c r="C13" s="10" t="s">
        <v>21</v>
      </c>
      <c r="D13" s="10" t="s">
        <v>28</v>
      </c>
      <c r="E13" s="10" t="s">
        <v>47</v>
      </c>
      <c r="F13" s="11">
        <v>43</v>
      </c>
      <c r="G13" s="11">
        <v>900</v>
      </c>
      <c r="H13" s="11">
        <v>40.5</v>
      </c>
      <c r="I13" s="11">
        <v>33.76</v>
      </c>
      <c r="J13" s="11">
        <v>42.41</v>
      </c>
      <c r="K13" s="11">
        <v>92.85</v>
      </c>
      <c r="L13" s="11">
        <v>1.6721919999999999</v>
      </c>
      <c r="M13" s="11" t="s">
        <v>48</v>
      </c>
      <c r="N13" s="19">
        <v>0.85972222222222228</v>
      </c>
      <c r="O13" s="12" t="str">
        <f t="shared" si="0"/>
        <v>✓ Met</v>
      </c>
      <c r="P13" s="12" t="str">
        <f t="shared" si="1"/>
        <v>✓ Met</v>
      </c>
    </row>
    <row r="14" spans="1:16" x14ac:dyDescent="0.35">
      <c r="A14" s="13">
        <v>10</v>
      </c>
      <c r="B14" s="14">
        <v>1</v>
      </c>
      <c r="C14" s="14" t="s">
        <v>21</v>
      </c>
      <c r="D14" s="14" t="s">
        <v>29</v>
      </c>
      <c r="E14" s="14" t="s">
        <v>49</v>
      </c>
      <c r="F14" s="15">
        <v>45</v>
      </c>
      <c r="G14" s="15">
        <v>900</v>
      </c>
      <c r="H14" s="15">
        <v>39.28</v>
      </c>
      <c r="I14" s="15">
        <v>37.56</v>
      </c>
      <c r="J14" s="15">
        <v>40.409999999999997</v>
      </c>
      <c r="K14" s="15">
        <v>93.32</v>
      </c>
      <c r="L14" s="15">
        <v>2.5989119999999999</v>
      </c>
      <c r="M14" s="15" t="s">
        <v>48</v>
      </c>
      <c r="N14" s="20">
        <v>0.44097222222222221</v>
      </c>
      <c r="O14" s="12" t="str">
        <f t="shared" si="0"/>
        <v>✓ Met</v>
      </c>
      <c r="P14" s="12" t="str">
        <f t="shared" si="1"/>
        <v>✓ Met</v>
      </c>
    </row>
    <row r="15" spans="1:16" x14ac:dyDescent="0.35">
      <c r="A15" s="9">
        <v>11</v>
      </c>
      <c r="B15" s="10">
        <v>2</v>
      </c>
      <c r="C15" s="10" t="s">
        <v>21</v>
      </c>
      <c r="D15" s="10" t="s">
        <v>29</v>
      </c>
      <c r="E15" s="10" t="s">
        <v>49</v>
      </c>
      <c r="F15" s="11">
        <v>42</v>
      </c>
      <c r="G15" s="11">
        <v>900</v>
      </c>
      <c r="H15" s="11">
        <v>41.03</v>
      </c>
      <c r="I15" s="11">
        <v>39.130000000000003</v>
      </c>
      <c r="J15" s="11">
        <v>41.65</v>
      </c>
      <c r="K15" s="11">
        <v>92.95</v>
      </c>
      <c r="L15" s="11">
        <v>2.542592</v>
      </c>
      <c r="M15" s="11" t="s">
        <v>48</v>
      </c>
      <c r="N15" s="19">
        <v>0.84652777777777777</v>
      </c>
      <c r="O15" s="12" t="str">
        <f t="shared" si="0"/>
        <v>✓ Met</v>
      </c>
      <c r="P15" s="12" t="str">
        <f t="shared" si="1"/>
        <v>✓ Met</v>
      </c>
    </row>
    <row r="16" spans="1:16" x14ac:dyDescent="0.35">
      <c r="A16" s="13">
        <v>12</v>
      </c>
      <c r="B16" s="14">
        <v>3</v>
      </c>
      <c r="C16" s="14" t="s">
        <v>21</v>
      </c>
      <c r="D16" s="14" t="s">
        <v>29</v>
      </c>
      <c r="E16" s="14" t="s">
        <v>49</v>
      </c>
      <c r="F16" s="15">
        <v>46</v>
      </c>
      <c r="G16" s="15">
        <v>900</v>
      </c>
      <c r="H16" s="15">
        <v>42.53</v>
      </c>
      <c r="I16" s="15">
        <v>46.13</v>
      </c>
      <c r="J16" s="15">
        <v>41.98</v>
      </c>
      <c r="K16" s="15">
        <v>93.49</v>
      </c>
      <c r="L16" s="15">
        <v>3.2880639999999999</v>
      </c>
      <c r="M16" s="15" t="s">
        <v>48</v>
      </c>
      <c r="N16" s="20">
        <v>0.57291666666666663</v>
      </c>
      <c r="O16" s="12" t="str">
        <f t="shared" si="0"/>
        <v>✓ Met</v>
      </c>
      <c r="P16" s="12" t="str">
        <f t="shared" si="1"/>
        <v>✓ Met</v>
      </c>
    </row>
    <row r="17" spans="1:16" x14ac:dyDescent="0.35">
      <c r="A17" s="9">
        <v>13</v>
      </c>
      <c r="B17" s="10">
        <v>1</v>
      </c>
      <c r="C17" s="10" t="s">
        <v>30</v>
      </c>
      <c r="D17" s="10" t="s">
        <v>22</v>
      </c>
      <c r="E17" s="10" t="s">
        <v>47</v>
      </c>
      <c r="F17" s="11">
        <v>53</v>
      </c>
      <c r="G17" s="11">
        <v>60</v>
      </c>
      <c r="H17" s="11">
        <v>49.19</v>
      </c>
      <c r="I17" s="11">
        <v>37.549999999999997</v>
      </c>
      <c r="J17" s="11">
        <v>40.44</v>
      </c>
      <c r="K17" s="11">
        <v>93.35</v>
      </c>
      <c r="L17" s="11">
        <v>1.027072</v>
      </c>
      <c r="M17" s="11" t="s">
        <v>48</v>
      </c>
      <c r="N17" s="19">
        <v>0.72499999999999998</v>
      </c>
      <c r="O17" s="12" t="str">
        <f t="shared" si="0"/>
        <v>✓ Met</v>
      </c>
      <c r="P17" s="12" t="str">
        <f t="shared" si="1"/>
        <v>✓ Met</v>
      </c>
    </row>
    <row r="18" spans="1:16" x14ac:dyDescent="0.35">
      <c r="A18" s="13">
        <v>14</v>
      </c>
      <c r="B18" s="14">
        <v>2</v>
      </c>
      <c r="C18" s="14" t="s">
        <v>30</v>
      </c>
      <c r="D18" s="14" t="s">
        <v>22</v>
      </c>
      <c r="E18" s="14" t="s">
        <v>47</v>
      </c>
      <c r="F18" s="15">
        <v>53</v>
      </c>
      <c r="G18" s="15">
        <v>60</v>
      </c>
      <c r="H18" s="15">
        <v>45.69</v>
      </c>
      <c r="I18" s="15">
        <v>37.07</v>
      </c>
      <c r="J18" s="15">
        <v>42.32</v>
      </c>
      <c r="K18" s="15">
        <v>93.55</v>
      </c>
      <c r="L18" s="15">
        <v>1.084416</v>
      </c>
      <c r="M18" s="15" t="s">
        <v>48</v>
      </c>
      <c r="N18" s="20">
        <v>0.7729166666666667</v>
      </c>
      <c r="O18" s="12" t="str">
        <f t="shared" si="0"/>
        <v>✓ Met</v>
      </c>
      <c r="P18" s="12" t="str">
        <f t="shared" si="1"/>
        <v>✓ Met</v>
      </c>
    </row>
    <row r="19" spans="1:16" x14ac:dyDescent="0.35">
      <c r="A19" s="9">
        <v>15</v>
      </c>
      <c r="B19" s="10">
        <v>3</v>
      </c>
      <c r="C19" s="10" t="s">
        <v>30</v>
      </c>
      <c r="D19" s="10" t="s">
        <v>22</v>
      </c>
      <c r="E19" s="10" t="s">
        <v>47</v>
      </c>
      <c r="F19" s="11">
        <v>53</v>
      </c>
      <c r="G19" s="11">
        <v>60</v>
      </c>
      <c r="H19" s="11">
        <v>50.98</v>
      </c>
      <c r="I19" s="11">
        <v>36.28</v>
      </c>
      <c r="J19" s="11">
        <v>42.57</v>
      </c>
      <c r="K19" s="11">
        <v>93.59</v>
      </c>
      <c r="L19" s="11">
        <v>1.0700799999999999</v>
      </c>
      <c r="M19" s="11" t="s">
        <v>48</v>
      </c>
      <c r="N19" s="19">
        <v>0.82222222222222219</v>
      </c>
      <c r="O19" s="12" t="str">
        <f t="shared" si="0"/>
        <v>✓ Met</v>
      </c>
      <c r="P19" s="12" t="str">
        <f t="shared" si="1"/>
        <v>✓ Met</v>
      </c>
    </row>
    <row r="20" spans="1:16" x14ac:dyDescent="0.35">
      <c r="A20" s="13">
        <v>16</v>
      </c>
      <c r="B20" s="14">
        <v>1</v>
      </c>
      <c r="C20" s="14" t="s">
        <v>30</v>
      </c>
      <c r="D20" s="14" t="s">
        <v>27</v>
      </c>
      <c r="E20" s="14" t="s">
        <v>49</v>
      </c>
      <c r="F20" s="15">
        <v>47</v>
      </c>
      <c r="G20" s="15">
        <v>60</v>
      </c>
      <c r="H20" s="15">
        <v>43.64</v>
      </c>
      <c r="I20" s="15">
        <v>38.1</v>
      </c>
      <c r="J20" s="15">
        <v>42.11</v>
      </c>
      <c r="K20" s="15">
        <v>93.61</v>
      </c>
      <c r="L20" s="15">
        <v>1.1970559999999999</v>
      </c>
      <c r="M20" s="15" t="s">
        <v>48</v>
      </c>
      <c r="N20" s="20">
        <v>0.97499999999999998</v>
      </c>
      <c r="O20" s="12" t="str">
        <f t="shared" si="0"/>
        <v>✓ Met</v>
      </c>
      <c r="P20" s="12" t="str">
        <f t="shared" si="1"/>
        <v>✓ Met</v>
      </c>
    </row>
    <row r="21" spans="1:16" x14ac:dyDescent="0.35">
      <c r="A21" s="9">
        <v>17</v>
      </c>
      <c r="B21" s="10">
        <v>2</v>
      </c>
      <c r="C21" s="10" t="s">
        <v>30</v>
      </c>
      <c r="D21" s="10" t="s">
        <v>27</v>
      </c>
      <c r="E21" s="10" t="s">
        <v>49</v>
      </c>
      <c r="F21" s="11">
        <v>143</v>
      </c>
      <c r="G21" s="11">
        <v>60</v>
      </c>
      <c r="H21" s="11">
        <v>59.01</v>
      </c>
      <c r="I21" s="11">
        <v>26.81</v>
      </c>
      <c r="J21" s="11">
        <v>46.54</v>
      </c>
      <c r="K21" s="11">
        <v>93.36</v>
      </c>
      <c r="L21" s="11">
        <v>1.2308479999999999</v>
      </c>
      <c r="M21" s="11" t="s">
        <v>48</v>
      </c>
      <c r="N21" s="19">
        <v>0.87291666666666667</v>
      </c>
      <c r="O21" s="12" t="str">
        <f t="shared" si="0"/>
        <v>✓ Met</v>
      </c>
      <c r="P21" s="12" t="str">
        <f t="shared" si="1"/>
        <v>✓ Met</v>
      </c>
    </row>
    <row r="22" spans="1:16" x14ac:dyDescent="0.35">
      <c r="A22" s="13">
        <v>18</v>
      </c>
      <c r="B22" s="14">
        <v>5</v>
      </c>
      <c r="C22" s="14" t="s">
        <v>30</v>
      </c>
      <c r="D22" s="14" t="s">
        <v>27</v>
      </c>
      <c r="E22" s="14" t="s">
        <v>49</v>
      </c>
      <c r="F22" s="15">
        <v>78</v>
      </c>
      <c r="G22" s="15">
        <v>60</v>
      </c>
      <c r="H22" s="15">
        <v>41.03</v>
      </c>
      <c r="I22" s="15">
        <v>42.84</v>
      </c>
      <c r="J22" s="15">
        <v>48.12</v>
      </c>
      <c r="K22" s="15">
        <v>94.43</v>
      </c>
      <c r="L22" s="15">
        <v>1.380352</v>
      </c>
      <c r="M22" s="15" t="s">
        <v>48</v>
      </c>
      <c r="N22" s="20">
        <v>0.88958333333333328</v>
      </c>
      <c r="O22" s="12" t="str">
        <f t="shared" si="0"/>
        <v>✓ Met</v>
      </c>
      <c r="P22" s="12" t="str">
        <f t="shared" si="1"/>
        <v>✓ Met</v>
      </c>
    </row>
    <row r="23" spans="1:16" x14ac:dyDescent="0.35">
      <c r="A23" s="9">
        <v>19</v>
      </c>
      <c r="B23" s="10">
        <v>1</v>
      </c>
      <c r="C23" s="10" t="s">
        <v>30</v>
      </c>
      <c r="D23" s="10" t="s">
        <v>28</v>
      </c>
      <c r="E23" s="10" t="s">
        <v>47</v>
      </c>
      <c r="F23" s="11">
        <v>53</v>
      </c>
      <c r="G23" s="11">
        <v>60</v>
      </c>
      <c r="H23" s="11">
        <v>47.77</v>
      </c>
      <c r="I23" s="11">
        <v>45.6</v>
      </c>
      <c r="J23" s="11">
        <v>47.42</v>
      </c>
      <c r="K23" s="11">
        <v>93.55</v>
      </c>
      <c r="L23" s="11">
        <v>10.903551999999999</v>
      </c>
      <c r="M23" s="11" t="s">
        <v>48</v>
      </c>
      <c r="N23" s="19">
        <v>0.82291666666666663</v>
      </c>
      <c r="O23" s="12" t="str">
        <f t="shared" si="0"/>
        <v>✓ Met</v>
      </c>
      <c r="P23" s="12" t="str">
        <f t="shared" si="1"/>
        <v>✓ Met</v>
      </c>
    </row>
    <row r="24" spans="1:16" x14ac:dyDescent="0.35">
      <c r="A24" s="13">
        <v>20</v>
      </c>
      <c r="B24" s="14">
        <v>2</v>
      </c>
      <c r="C24" s="14" t="s">
        <v>30</v>
      </c>
      <c r="D24" s="14" t="s">
        <v>28</v>
      </c>
      <c r="E24" s="14" t="s">
        <v>47</v>
      </c>
      <c r="F24" s="15">
        <v>58</v>
      </c>
      <c r="G24" s="15">
        <v>60</v>
      </c>
      <c r="H24" s="15">
        <v>46.39</v>
      </c>
      <c r="I24" s="15">
        <v>28.4</v>
      </c>
      <c r="J24" s="15">
        <v>40.270000000000003</v>
      </c>
      <c r="K24" s="15">
        <v>93.76</v>
      </c>
      <c r="L24" s="15">
        <v>1.117184</v>
      </c>
      <c r="M24" s="15" t="s">
        <v>48</v>
      </c>
      <c r="N24" s="20">
        <v>0.84791666666666665</v>
      </c>
      <c r="O24" s="12" t="str">
        <f t="shared" si="0"/>
        <v>✓ Met</v>
      </c>
      <c r="P24" s="12" t="str">
        <f t="shared" si="1"/>
        <v>✓ Met</v>
      </c>
    </row>
    <row r="25" spans="1:16" x14ac:dyDescent="0.35">
      <c r="A25" s="9">
        <v>21</v>
      </c>
      <c r="B25" s="10">
        <v>3</v>
      </c>
      <c r="C25" s="10" t="s">
        <v>30</v>
      </c>
      <c r="D25" s="10" t="s">
        <v>28</v>
      </c>
      <c r="E25" s="10" t="s">
        <v>47</v>
      </c>
      <c r="F25" s="11">
        <v>64</v>
      </c>
      <c r="G25" s="11">
        <v>60</v>
      </c>
      <c r="H25" s="11">
        <v>43.17</v>
      </c>
      <c r="I25" s="11">
        <v>41.95</v>
      </c>
      <c r="J25" s="11">
        <v>42.36</v>
      </c>
      <c r="K25" s="11">
        <v>93.79</v>
      </c>
      <c r="L25" s="11">
        <v>1.164288</v>
      </c>
      <c r="M25" s="11" t="s">
        <v>48</v>
      </c>
      <c r="N25" s="19">
        <v>0.47152777777777777</v>
      </c>
      <c r="O25" s="12" t="str">
        <f t="shared" si="0"/>
        <v>✓ Met</v>
      </c>
      <c r="P25" s="12" t="str">
        <f t="shared" si="1"/>
        <v>✓ Met</v>
      </c>
    </row>
    <row r="26" spans="1:16" x14ac:dyDescent="0.35">
      <c r="A26" s="13">
        <v>22</v>
      </c>
      <c r="B26" s="14">
        <v>1</v>
      </c>
      <c r="C26" s="14" t="s">
        <v>30</v>
      </c>
      <c r="D26" s="14" t="s">
        <v>29</v>
      </c>
      <c r="E26" s="14" t="s">
        <v>49</v>
      </c>
      <c r="F26" s="15">
        <v>54</v>
      </c>
      <c r="G26" s="15">
        <v>60</v>
      </c>
      <c r="H26" s="15">
        <v>52.67</v>
      </c>
      <c r="I26" s="15">
        <v>37.44</v>
      </c>
      <c r="J26" s="15">
        <v>42.79</v>
      </c>
      <c r="K26" s="15">
        <v>93.84</v>
      </c>
      <c r="L26" s="15">
        <v>1.5370239999999999</v>
      </c>
      <c r="M26" s="15" t="s">
        <v>48</v>
      </c>
      <c r="N26" s="20">
        <v>0.80833333333333335</v>
      </c>
      <c r="O26" s="12" t="str">
        <f t="shared" si="0"/>
        <v>✓ Met</v>
      </c>
      <c r="P26" s="12" t="str">
        <f t="shared" si="1"/>
        <v>✓ Met</v>
      </c>
    </row>
    <row r="27" spans="1:16" x14ac:dyDescent="0.35">
      <c r="A27" s="9">
        <v>23</v>
      </c>
      <c r="B27" s="10">
        <v>2</v>
      </c>
      <c r="C27" s="10" t="s">
        <v>30</v>
      </c>
      <c r="D27" s="10" t="s">
        <v>29</v>
      </c>
      <c r="E27" s="10" t="s">
        <v>49</v>
      </c>
      <c r="F27" s="11">
        <v>53</v>
      </c>
      <c r="G27" s="11">
        <v>60</v>
      </c>
      <c r="H27" s="11">
        <v>44.44</v>
      </c>
      <c r="I27" s="11">
        <v>36.19</v>
      </c>
      <c r="J27" s="11">
        <v>42.8</v>
      </c>
      <c r="K27" s="11">
        <v>94.07</v>
      </c>
      <c r="L27" s="11">
        <v>1.5196160000000001</v>
      </c>
      <c r="M27" s="11" t="s">
        <v>48</v>
      </c>
      <c r="N27" s="19">
        <v>0.69236111111111109</v>
      </c>
      <c r="O27" s="12" t="str">
        <f t="shared" si="0"/>
        <v>✓ Met</v>
      </c>
      <c r="P27" s="12" t="str">
        <f t="shared" si="1"/>
        <v>✓ Met</v>
      </c>
    </row>
    <row r="28" spans="1:16" x14ac:dyDescent="0.35">
      <c r="A28" s="13">
        <v>24</v>
      </c>
      <c r="B28" s="14">
        <v>3</v>
      </c>
      <c r="C28" s="14" t="s">
        <v>30</v>
      </c>
      <c r="D28" s="14" t="s">
        <v>29</v>
      </c>
      <c r="E28" s="14" t="s">
        <v>49</v>
      </c>
      <c r="F28" s="15">
        <v>72</v>
      </c>
      <c r="G28" s="15">
        <v>60</v>
      </c>
      <c r="H28" s="15">
        <v>53.88</v>
      </c>
      <c r="I28" s="15">
        <v>22.57</v>
      </c>
      <c r="J28" s="15">
        <v>41.95</v>
      </c>
      <c r="K28" s="15">
        <v>93.36</v>
      </c>
      <c r="L28" s="15">
        <v>1.570816</v>
      </c>
      <c r="M28" s="15" t="s">
        <v>48</v>
      </c>
      <c r="N28" s="20">
        <v>0.87986111111111109</v>
      </c>
      <c r="O28" s="12" t="str">
        <f t="shared" si="0"/>
        <v>✓ Met</v>
      </c>
      <c r="P28" s="12" t="str">
        <f t="shared" si="1"/>
        <v>✓ Met</v>
      </c>
    </row>
  </sheetData>
  <mergeCells count="6">
    <mergeCell ref="A1:P1"/>
    <mergeCell ref="A2:P2"/>
    <mergeCell ref="A3:E3"/>
    <mergeCell ref="F3:G3"/>
    <mergeCell ref="H3:L3"/>
    <mergeCell ref="O3:P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Preparation Runs</vt:lpstr>
      <vt:lpstr>Failover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Haydnblythe Magro</cp:lastModifiedBy>
  <cp:revision>0</cp:revision>
  <dcterms:created xsi:type="dcterms:W3CDTF">2026-05-07T19:24:28Z</dcterms:created>
  <dcterms:modified xsi:type="dcterms:W3CDTF">2026-06-03T22:12:44Z</dcterms:modified>
  <cp:category/>
  <cp:contentStatus/>
</cp:coreProperties>
</file>